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urukuri\Downloads\"/>
    </mc:Choice>
  </mc:AlternateContent>
  <xr:revisionPtr revIDLastSave="0" documentId="8_{C0D37C66-86F8-4141-8302-D9DB49FB573F}" xr6:coauthVersionLast="47" xr6:coauthVersionMax="47" xr10:uidLastSave="{00000000-0000-0000-0000-000000000000}"/>
  <bookViews>
    <workbookView xWindow="-110" yWindow="-110" windowWidth="19420" windowHeight="11500" xr2:uid="{45936620-F5AF-4C1E-8163-2A5719BCB142}"/>
  </bookViews>
  <sheets>
    <sheet name="EQU RC list 2025-26" sheetId="1" r:id="rId1"/>
    <sheet name="Furniture items RC list " sheetId="2" r:id="rId2"/>
  </sheets>
  <definedNames>
    <definedName name="_xlnm._FilterDatabase" localSheetId="0" hidden="1">'EQU RC list 2025-26'!$A$1:$S$142</definedName>
    <definedName name="_xlnm._FilterDatabase" localSheetId="1" hidden="1">'Furniture items RC list '!$A$2:$H$5</definedName>
    <definedName name="_xlnm.Print_Area" localSheetId="0">'EQU RC list 2025-26'!$A$1:$N$135</definedName>
    <definedName name="_xlnm.Print_Area" localSheetId="1">'Furniture items RC list '!$A$1:$H$151</definedName>
    <definedName name="_xlnm.Print_Titles" localSheetId="0">'EQU RC list 2025-26'!$1:$1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1" i="2" l="1"/>
  <c r="G148" i="2"/>
  <c r="G145" i="2"/>
  <c r="G143" i="2"/>
  <c r="G141" i="2"/>
  <c r="G139" i="2"/>
  <c r="G137" i="2"/>
  <c r="G135" i="2"/>
  <c r="G132" i="2"/>
  <c r="G130" i="2"/>
  <c r="G127" i="2"/>
  <c r="G124" i="2"/>
  <c r="G121" i="2"/>
  <c r="G119" i="2"/>
  <c r="G117" i="2"/>
  <c r="G114" i="2"/>
  <c r="G111" i="2"/>
  <c r="G39" i="2"/>
  <c r="J129" i="1"/>
  <c r="I129" i="1"/>
  <c r="A128" i="1"/>
  <c r="A129" i="1" s="1"/>
  <c r="A130" i="1" s="1"/>
  <c r="A131" i="1" s="1"/>
  <c r="A132" i="1" s="1"/>
  <c r="A133" i="1" s="1"/>
  <c r="A134" i="1" s="1"/>
  <c r="A135" i="1" s="1"/>
  <c r="A125" i="1"/>
  <c r="A126" i="1" s="1"/>
  <c r="J109" i="1"/>
  <c r="I109" i="1"/>
  <c r="I108" i="1"/>
  <c r="J108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I106" i="1"/>
  <c r="J105" i="1"/>
  <c r="I105" i="1"/>
  <c r="I102" i="1"/>
  <c r="I99" i="1"/>
  <c r="J99" i="1" s="1"/>
  <c r="J97" i="1"/>
  <c r="I97" i="1"/>
  <c r="I96" i="1"/>
  <c r="J96" i="1" s="1"/>
  <c r="I80" i="1"/>
  <c r="J80" i="1" s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J58" i="1"/>
  <c r="I58" i="1"/>
  <c r="I56" i="1"/>
  <c r="J56" i="1" s="1"/>
  <c r="J55" i="1"/>
  <c r="I55" i="1"/>
  <c r="J54" i="1"/>
  <c r="R55" i="1" s="1"/>
  <c r="I54" i="1"/>
  <c r="J52" i="1"/>
  <c r="I45" i="1"/>
  <c r="J45" i="1" s="1"/>
  <c r="I42" i="1"/>
  <c r="J42" i="1" s="1"/>
  <c r="I41" i="1"/>
  <c r="J41" i="1" s="1"/>
  <c r="I40" i="1"/>
  <c r="I39" i="1"/>
  <c r="J39" i="1" s="1"/>
  <c r="I35" i="1"/>
  <c r="J34" i="1"/>
  <c r="I34" i="1"/>
  <c r="I27" i="1"/>
  <c r="J27" i="1" s="1"/>
  <c r="J24" i="1"/>
  <c r="I14" i="1"/>
  <c r="J14" i="1" s="1"/>
  <c r="R54" i="1" l="1"/>
</calcChain>
</file>

<file path=xl/sharedStrings.xml><?xml version="1.0" encoding="utf-8"?>
<sst xmlns="http://schemas.openxmlformats.org/spreadsheetml/2006/main" count="1267" uniqueCount="558">
  <si>
    <t>S.
No</t>
  </si>
  <si>
    <t>Name of the Item</t>
  </si>
  <si>
    <t>Name of the firm</t>
  </si>
  <si>
    <t>Rank</t>
  </si>
  <si>
    <t xml:space="preserve">Make </t>
  </si>
  <si>
    <t>Model</t>
  </si>
  <si>
    <t>Basic rate</t>
  </si>
  <si>
    <t>GST %</t>
  </si>
  <si>
    <t>Taxes Component</t>
  </si>
  <si>
    <t>Unit Rate Inclusive of GST</t>
  </si>
  <si>
    <t>CMC Charges for 4/7 years on Basic cost in Rs</t>
  </si>
  <si>
    <t>BFC date (dd/mm/yyyy)</t>
  </si>
  <si>
    <t>RC Valid upto 
(dd/mm/yyyy)</t>
  </si>
  <si>
    <t>Tender Quantity</t>
  </si>
  <si>
    <t>Remarks</t>
  </si>
  <si>
    <t>Department</t>
  </si>
  <si>
    <t>Facial Nerve Monitors</t>
  </si>
  <si>
    <t xml:space="preserve">1)  Teem-V Medie Care Private Limited 
</t>
  </si>
  <si>
    <t>Make: Teem-V</t>
  </si>
  <si>
    <t>Model: JV1843</t>
  </si>
  <si>
    <t>NA</t>
  </si>
  <si>
    <t>JULY-2025</t>
  </si>
  <si>
    <t xml:space="preserve">2)  Bhargav Enterprises    
</t>
  </si>
  <si>
    <t>Make : JS Industries</t>
  </si>
  <si>
    <t>Model : JS9026M</t>
  </si>
  <si>
    <t>Advance Hydraulic Delivery Tables for HDU</t>
  </si>
  <si>
    <t xml:space="preserve">Teem-V Medie Care Private Limited
</t>
  </si>
  <si>
    <t xml:space="preserve">Make: Teem-V
</t>
  </si>
  <si>
    <t>Model: JV1847</t>
  </si>
  <si>
    <t xml:space="preserve">Bhargav Enterprises
 </t>
  </si>
  <si>
    <t xml:space="preserve">Make : JS Industries
 </t>
  </si>
  <si>
    <t xml:space="preserve">Model : JS9026  </t>
  </si>
  <si>
    <t>Anesthesia Machine - 3 Gas Supply System</t>
  </si>
  <si>
    <t xml:space="preserve">Vasu Vaccines &amp; Speciality Drugs Private limited
</t>
  </si>
  <si>
    <t xml:space="preserve">Make: BPL Medical® Technologies
</t>
  </si>
  <si>
    <t>Model: Eflo-6C</t>
  </si>
  <si>
    <t>D&amp;C set including of MTP</t>
  </si>
  <si>
    <t xml:space="preserve"> Royal Agencies    </t>
  </si>
  <si>
    <t>Make Vaishanav</t>
  </si>
  <si>
    <t>DECEMBER-2025</t>
  </si>
  <si>
    <t>LSCS sets</t>
  </si>
  <si>
    <t>Delivery Sets</t>
  </si>
  <si>
    <t>Major and minor OT Instrument sets</t>
  </si>
  <si>
    <t>Make Vaishanav Surgical Co.</t>
  </si>
  <si>
    <t>12.12.2025</t>
  </si>
  <si>
    <t>Hybrid powered console based orthopaedic drill system with reamer set</t>
  </si>
  <si>
    <t xml:space="preserve"> M/s Srivari Medical Systems</t>
  </si>
  <si>
    <t xml:space="preserve">Make : Biotech
</t>
  </si>
  <si>
    <t>Model : Biotech Battery Operated Drill System</t>
  </si>
  <si>
    <t>Plaster Cutter</t>
  </si>
  <si>
    <t xml:space="preserve"> BMT Medical Devices Private Limited</t>
  </si>
  <si>
    <t xml:space="preserve">Make : MANMAN
</t>
  </si>
  <si>
    <t>Model : MANMAN Plaster Cutter</t>
  </si>
  <si>
    <t>Electronic Tourniquet</t>
  </si>
  <si>
    <t xml:space="preserve"> Samogar Solutions</t>
  </si>
  <si>
    <t xml:space="preserve">Make : Diamond
</t>
  </si>
  <si>
    <t>Model : TRDG 511</t>
  </si>
  <si>
    <t>10.12.2025</t>
  </si>
  <si>
    <t>Defibrillator</t>
  </si>
  <si>
    <t xml:space="preserve"> Schiller Healthcare India Private Limited</t>
  </si>
  <si>
    <t>L1</t>
  </si>
  <si>
    <t xml:space="preserve">Make : Schiller
</t>
  </si>
  <si>
    <t>Model : Defigard 400</t>
  </si>
  <si>
    <t xml:space="preserve">Mechanized Laundry 60kg </t>
  </si>
  <si>
    <t>Vijaya Lakshmi Enterprises</t>
  </si>
  <si>
    <t>Make: Sri Meghana</t>
  </si>
  <si>
    <t>Model: Mechanised Laundry</t>
  </si>
  <si>
    <t>Fetal Doppler</t>
  </si>
  <si>
    <t xml:space="preserve"> Samogar Solutions </t>
  </si>
  <si>
    <t xml:space="preserve">Make : DESCO
</t>
  </si>
  <si>
    <t>Model : BCHD 105</t>
  </si>
  <si>
    <t>Transport Incubator</t>
  </si>
  <si>
    <t>Nice Neotech Medical Systems Pvt Ltd</t>
  </si>
  <si>
    <t>Make: Neotech</t>
  </si>
  <si>
    <t>Model: Nice 3000</t>
  </si>
  <si>
    <t xml:space="preserve">Ultrasonic Cutting &amp; Coagulation device </t>
  </si>
  <si>
    <t>Green Apple Medical Systems</t>
  </si>
  <si>
    <t>Make: Olympus</t>
  </si>
  <si>
    <t>Model: USG-410 Country of Origin: Japan</t>
  </si>
  <si>
    <t>Dressing Trolley</t>
  </si>
  <si>
    <t xml:space="preserve">M/s. Carevel Medical Systems Private Limited
</t>
  </si>
  <si>
    <t xml:space="preserve">Make Carevel
</t>
  </si>
  <si>
    <t>Model C-4101</t>
  </si>
  <si>
    <t>12.03.2025</t>
  </si>
  <si>
    <t>MARCH-2026</t>
  </si>
  <si>
    <t>Drug Trolley</t>
  </si>
  <si>
    <t xml:space="preserve">Carevel Medical Systems Private Limited
</t>
  </si>
  <si>
    <t>Model C-4505</t>
  </si>
  <si>
    <t>Mayo Trolley</t>
  </si>
  <si>
    <t xml:space="preserve">M/s. Dynamic International
</t>
  </si>
  <si>
    <t xml:space="preserve">Make DYNAMIC
</t>
  </si>
  <si>
    <t>Model DHF-1116</t>
  </si>
  <si>
    <t xml:space="preserve">Radiant Warmer </t>
  </si>
  <si>
    <t>M/s.Nice Neotech Medical Systems Pvt. Ltd</t>
  </si>
  <si>
    <t>Make : Nice Neotech</t>
  </si>
  <si>
    <t>Model: Nice 2010 with trolley</t>
  </si>
  <si>
    <t>Phototherapy Double Surface</t>
  </si>
  <si>
    <t>Nice Neotech Medical Systems Pvt. Ltd</t>
  </si>
  <si>
    <t>CT Scan Machine 16 Slice with 0.8 sec 
(3.5 MHU)</t>
  </si>
  <si>
    <t xml:space="preserve">Erbis Engineering Co. Ltd., </t>
  </si>
  <si>
    <t>Make: Canon Medical Systems Co Ltd.,</t>
  </si>
  <si>
    <t>Model: Aquilion Start</t>
  </si>
  <si>
    <t>18.09.2026</t>
  </si>
  <si>
    <t>SEPTEMBER-2026</t>
  </si>
  <si>
    <t>6 Wheeled mobile Food Safety on Wheels with fully fabricated</t>
  </si>
  <si>
    <t>Sisco Instruments</t>
  </si>
  <si>
    <t>Make: Mahindra &amp; Mahindra</t>
  </si>
  <si>
    <t>Model: Furio 7 HD</t>
  </si>
  <si>
    <t>Dental Instruments</t>
  </si>
  <si>
    <t>Make:Vaishanav Surgical Co</t>
  </si>
  <si>
    <t>Model: Vaishanav</t>
  </si>
  <si>
    <t>Dental X-Ray- Intra Oral With RVG</t>
  </si>
  <si>
    <t>Confident Dental Equipments Private Limited</t>
  </si>
  <si>
    <t>Make: Skanray Confident</t>
  </si>
  <si>
    <t>Model: Intraskan DC &amp;ECO RVG</t>
  </si>
  <si>
    <t>21.11.2026</t>
  </si>
  <si>
    <t>Autoclave HP Horizonal</t>
  </si>
  <si>
    <t xml:space="preserve"> M/s Zenotrex Medico Private Limited</t>
  </si>
  <si>
    <t>Make: Zenotrex Medico</t>
  </si>
  <si>
    <t>Model: ZPL- AH01S</t>
  </si>
  <si>
    <t>Opthalmoscope- Direct</t>
  </si>
  <si>
    <t xml:space="preserve"> Cardiomed India Limited</t>
  </si>
  <si>
    <t>Make:Heine</t>
  </si>
  <si>
    <t>Model: Heine Beta 200 S LED</t>
  </si>
  <si>
    <t>Not willing to supply due tohike in Dollar Rate</t>
  </si>
  <si>
    <t>Salt Testing kit</t>
  </si>
  <si>
    <t>Plastic Surge Industries Pvt. Ltd</t>
  </si>
  <si>
    <t>Make: PSI</t>
  </si>
  <si>
    <t>Model: PSI- 202</t>
  </si>
  <si>
    <t>04.02.2027</t>
  </si>
  <si>
    <t>Spectacles for school children</t>
  </si>
  <si>
    <t>Akriti Ophthalmic Pvt.Ltd</t>
  </si>
  <si>
    <t>Make: Akriti</t>
  </si>
  <si>
    <t>Model:- AOPL -0031-Myopia correction                             AOPL - 0032- Hyperopia correction   AOPL- 0033- Prescription correction</t>
  </si>
  <si>
    <t>04.02.2026</t>
  </si>
  <si>
    <t>Human Organ Transportation Box</t>
  </si>
  <si>
    <t xml:space="preserve"> Sandor Medicaids Pvt.Ltd</t>
  </si>
  <si>
    <t>Make: Meditech International</t>
  </si>
  <si>
    <t>Model: Orgador SAN V2 -15- LD</t>
  </si>
  <si>
    <t>05.02.2026</t>
  </si>
  <si>
    <t>Patient Warmer Machine</t>
  </si>
  <si>
    <t xml:space="preserve"> M/s.Susruta Surgicals</t>
  </si>
  <si>
    <t>Make: 3M India Ltd</t>
  </si>
  <si>
    <t>Model: 3M Bair Hugger 775 convective patient warmer unit</t>
  </si>
  <si>
    <t>Regular Monitors (5Para)</t>
  </si>
  <si>
    <t>M/s.Brawn Laboratories Ltd</t>
  </si>
  <si>
    <t>Make: GE</t>
  </si>
  <si>
    <t>Model: B125M Monitor</t>
  </si>
  <si>
    <t/>
  </si>
  <si>
    <t>05.02.2025</t>
  </si>
  <si>
    <t>Fibreoptic Choledochos Scope</t>
  </si>
  <si>
    <t>M/s Green Apple Medical Systems</t>
  </si>
  <si>
    <t>Model: OTV- S200- Video Processor and light source CHF-V2- Choledocho video scope, LMD-2735 Sony monitor</t>
  </si>
  <si>
    <t>Digital Video Broncho scope (Adult &amp; Pediatric)</t>
  </si>
  <si>
    <t>Model: i.CV-1500 Video processor/ light source                             ii. BF - 1TH1100 Adult Video Bronchoscope                 iii. BF-P190 Diagnostic Video Bronchoscope                           iv. BF-MP190F Ultra-Thin Bronchoscope</t>
  </si>
  <si>
    <t>4K HD Head Mounted  Video Recorder</t>
  </si>
  <si>
    <t xml:space="preserve"> Olympic   Pharmacare PvtLtd</t>
  </si>
  <si>
    <t>Make: Nanocam</t>
  </si>
  <si>
    <t>Head Light Ultra Mini</t>
  </si>
  <si>
    <t>Make: UltraminiHDi</t>
  </si>
  <si>
    <t>Model: UltraminiHDi</t>
  </si>
  <si>
    <t>100mA X-Ray Mobile</t>
  </si>
  <si>
    <t xml:space="preserve"> American Meditek Systems Private Limited (L1)</t>
  </si>
  <si>
    <t>L1 sharing</t>
  </si>
  <si>
    <t>Make: American Meditek</t>
  </si>
  <si>
    <t>Model: Medray- 4.2</t>
  </si>
  <si>
    <t xml:space="preserve">30,658,97
4th year- 4,851.71 
5th year- 4,410.65 
6th year- 4,009.68 
7th year- 3,645.16 
8th year -3,313.78 
9th year -3,012.53 
10th year- 2,738.66
</t>
  </si>
  <si>
    <t>M/s. Epsilon Healthcare Solutions Private Limited(L2)</t>
  </si>
  <si>
    <t>L2 sharing</t>
  </si>
  <si>
    <t xml:space="preserve">Make:
EPSILON
</t>
  </si>
  <si>
    <t xml:space="preserve">Model:EP CORSA 4SM
</t>
  </si>
  <si>
    <t>200 ma X-ray</t>
  </si>
  <si>
    <t>Model: Medray- 15</t>
  </si>
  <si>
    <t xml:space="preserve">74233.33
4th year- 12,108.43
5th year- 11,007.67
6th year- 10,006.97
7th year- 9,097.24
8th year -8,270.22
9th year -7,518.38
10th year- 6,834.89
</t>
  </si>
  <si>
    <t>X-Ray Lobby- Single Film(X-Ray view box)</t>
  </si>
  <si>
    <t xml:space="preserve"> Amrad Medical Equipments</t>
  </si>
  <si>
    <t>Make: AMRAD</t>
  </si>
  <si>
    <t>Model: AM VIEW 1</t>
  </si>
  <si>
    <t>NO RC</t>
  </si>
  <si>
    <t xml:space="preserve">Lead Apron </t>
  </si>
  <si>
    <t xml:space="preserve"> Natures Global Services</t>
  </si>
  <si>
    <t>Make: X-Shield</t>
  </si>
  <si>
    <t>Model: X-Lite</t>
  </si>
  <si>
    <t>Computer Radiography Machine</t>
  </si>
  <si>
    <t xml:space="preserve"> M/s.Green Apple Medical  Systems</t>
  </si>
  <si>
    <t>Make: Fujifilm</t>
  </si>
  <si>
    <t>Model: FCR Prima TM with DryPix Edge</t>
  </si>
  <si>
    <t>Pallets (1000mm X 1200 mm X 150 mm)</t>
  </si>
  <si>
    <t xml:space="preserve"> Sri Sai Krishna Marketing Associates</t>
  </si>
  <si>
    <t>Make: Nilkamal</t>
  </si>
  <si>
    <r>
      <t>Pallet Racking System (Starter Bay)2700 mmX 800 mm X  4150 mm</t>
    </r>
    <r>
      <rPr>
        <b/>
        <sz val="12"/>
        <color theme="1"/>
        <rFont val="Times New Roman"/>
        <family val="1"/>
      </rPr>
      <t>(8.96 Cumt</t>
    </r>
    <r>
      <rPr>
        <sz val="12"/>
        <color theme="1"/>
        <rFont val="Times New Roman"/>
        <family val="1"/>
      </rPr>
      <t>)-(Ground +</t>
    </r>
    <r>
      <rPr>
        <b/>
        <sz val="12"/>
        <color theme="1"/>
        <rFont val="Times New Roman"/>
        <family val="1"/>
      </rPr>
      <t xml:space="preserve"> 3 stage racking)</t>
    </r>
  </si>
  <si>
    <t xml:space="preserve"> Samar Steel Industries </t>
  </si>
  <si>
    <t>Make: Samar</t>
  </si>
  <si>
    <t>Model: SSI- RS-902</t>
  </si>
  <si>
    <t>4,118,49</t>
  </si>
  <si>
    <r>
      <t xml:space="preserve">Pallet Racking System (Extension bay-full)  2700 mm X 800 mm X 4150 mm </t>
    </r>
    <r>
      <rPr>
        <b/>
        <sz val="12"/>
        <color theme="1"/>
        <rFont val="Times New Roman"/>
        <family val="1"/>
      </rPr>
      <t>(8.96 Cumt</t>
    </r>
    <r>
      <rPr>
        <sz val="12"/>
        <color theme="1"/>
        <rFont val="Times New Roman"/>
        <family val="1"/>
      </rPr>
      <t>) -(Ground + 3 stage racking)</t>
    </r>
  </si>
  <si>
    <t>Model: SSI- RS-903</t>
  </si>
  <si>
    <t>Pallet Racking System (Extension bay-half)  1400 mm X 800 mm X 4150 mm -(Ground + 3 stage racking)</t>
  </si>
  <si>
    <t>Electric Stackers</t>
  </si>
  <si>
    <t>Hydraulic Pallet Truck     (1150mm X 685 mm x 85 mm)</t>
  </si>
  <si>
    <t>Fiberoptic Bronchoscope</t>
  </si>
  <si>
    <t>M/s Green Apple Medical    Systems</t>
  </si>
  <si>
    <t>Model: BF- 1TQ170</t>
  </si>
  <si>
    <t>Motorized ICU Bed with 4 sections with mattress</t>
  </si>
  <si>
    <t>M/s Sri Sai Krishna Marketing Associates</t>
  </si>
  <si>
    <t>Make: Omega</t>
  </si>
  <si>
    <t>Model: KAPSON- 01A</t>
  </si>
  <si>
    <t>Portable Ultrasound Machine</t>
  </si>
  <si>
    <t>M/s.Brawn Laboratories Limited</t>
  </si>
  <si>
    <t>Model: Versana Active</t>
  </si>
  <si>
    <t>08.07.2025</t>
  </si>
  <si>
    <t>M/s.Esaote India(NS) Ltd</t>
  </si>
  <si>
    <t>Make: Esaote</t>
  </si>
  <si>
    <t>Model: Mylab Sigma</t>
  </si>
  <si>
    <t>Shadow less lamp standing model</t>
  </si>
  <si>
    <t>M/s Sai Srinivasa Agencies</t>
  </si>
  <si>
    <t>Make: Xcellance</t>
  </si>
  <si>
    <t>Model: iLUX 12</t>
  </si>
  <si>
    <t>Autoclave HP Vertical(2 bin)</t>
  </si>
  <si>
    <t>M/s Sri Vijaya Scientifics</t>
  </si>
  <si>
    <t>Make: Navyug</t>
  </si>
  <si>
    <t>Model: NU-AC</t>
  </si>
  <si>
    <t xml:space="preserve">Surgical Diathermy/
Cautery Machine </t>
  </si>
  <si>
    <t>Make: Xcellance Medical Technologies Pvt.Ltd</t>
  </si>
  <si>
    <t>Model: Sigma+ Country of Origin: India</t>
  </si>
  <si>
    <t>qty 1 supplied to chc maddur balance 49 (as on dt:09.09.2025)</t>
  </si>
  <si>
    <t>Knapsack Sprayer</t>
  </si>
  <si>
    <t>The Bombay Seeds Supply Co, Maharashtra</t>
  </si>
  <si>
    <t>Make: Foggers</t>
  </si>
  <si>
    <t>Model: Tulip Duplex2 IN1 Knapsack Sprayer</t>
  </si>
  <si>
    <t>Mist blowers Flit pump</t>
  </si>
  <si>
    <t>The Bombay Seeds Supply Co., Maharashtra</t>
  </si>
  <si>
    <t>Model: Toofan High Power Mist Blower</t>
  </si>
  <si>
    <t>Sickle Cell Cards</t>
  </si>
  <si>
    <t>GM Enterprises</t>
  </si>
  <si>
    <t>Make: GM</t>
  </si>
  <si>
    <t>Model: GM</t>
  </si>
  <si>
    <t>Vijaya Laxmi Enterprises</t>
  </si>
  <si>
    <t>Make: Vijaya Laxmi Enterprises</t>
  </si>
  <si>
    <t>Model: Vijaya Laxmi Enterprises</t>
  </si>
  <si>
    <t>MCP Cards</t>
  </si>
  <si>
    <t>Heritage Print Services Pvt. Ltd</t>
  </si>
  <si>
    <t>23.09.2025</t>
  </si>
  <si>
    <t>L1 &amp; L2 sharing</t>
  </si>
  <si>
    <t>NHM</t>
  </si>
  <si>
    <t>Karshak Print Solutions Pvt. Ltd</t>
  </si>
  <si>
    <t>Test Report Formats</t>
  </si>
  <si>
    <t>Print Time &amp; Business Enterprise</t>
  </si>
  <si>
    <t>X-Ray Film / Mammogram Film envelopes</t>
  </si>
  <si>
    <t>L3 sharing</t>
  </si>
  <si>
    <t>Small envelopes to keep reports</t>
  </si>
  <si>
    <t>Minor surgical instrument set</t>
  </si>
  <si>
    <t>BMT Medical Devices Pvt. Ltd</t>
  </si>
  <si>
    <t>Make:B Martin</t>
  </si>
  <si>
    <t>Model: B Martin</t>
  </si>
  <si>
    <t>22.09.2027</t>
  </si>
  <si>
    <t>Laparoscopic scopes</t>
  </si>
  <si>
    <t>Vishal Surgical Equipment Co</t>
  </si>
  <si>
    <t xml:space="preserve">L1 </t>
  </si>
  <si>
    <t>Make: Karl Storz</t>
  </si>
  <si>
    <t>Model: Telescope</t>
  </si>
  <si>
    <t>First aid Kit</t>
  </si>
  <si>
    <t xml:space="preserve">Bhargav Enterprises </t>
  </si>
  <si>
    <t>Make: Nasco Healthcare</t>
  </si>
  <si>
    <t>Skin and Fascia Suturing</t>
  </si>
  <si>
    <t>Model: LF01034
Model: LF01929
Model: LF01028</t>
  </si>
  <si>
    <t>Gynecology examination</t>
  </si>
  <si>
    <t xml:space="preserve">Model: LF01235
</t>
  </si>
  <si>
    <t>IUD training model</t>
  </si>
  <si>
    <t>Model: 160-1912</t>
  </si>
  <si>
    <t>Contraception Model (set of 2)</t>
  </si>
  <si>
    <t>Model: GD/F5M
Model: 160-1912</t>
  </si>
  <si>
    <t>CT 128 Slice Machine</t>
  </si>
  <si>
    <t>Erbis Engineering Company Limited</t>
  </si>
  <si>
    <t>Canon Medical Systems</t>
  </si>
  <si>
    <t>Aquilion Prime SP</t>
  </si>
  <si>
    <t>High End Ultrasound Machine</t>
  </si>
  <si>
    <t>M/s. Esaote India NS Limited</t>
  </si>
  <si>
    <t>Model: Mylab X8</t>
  </si>
  <si>
    <t>Portable ventilator</t>
  </si>
  <si>
    <t>M/s. BMT Medical Devices Private Limited</t>
  </si>
  <si>
    <t>Make: Resmed</t>
  </si>
  <si>
    <t>Model: Astral 150</t>
  </si>
  <si>
    <t>07.01.2026</t>
  </si>
  <si>
    <t>06.01.2028</t>
  </si>
  <si>
    <t xml:space="preserve">Laryngo
scope (Video)
</t>
  </si>
  <si>
    <t>M/s. Bhargav Enterprises</t>
  </si>
  <si>
    <t>Make: Acer Biomedicals LLP</t>
  </si>
  <si>
    <t>Model: VL-22</t>
  </si>
  <si>
    <t xml:space="preserve">Ultrasound Machine with Colour Doppler &amp; ECHO facility with 3 probes </t>
  </si>
  <si>
    <t xml:space="preserve">M/s Esaote India (NS) Ltd. </t>
  </si>
  <si>
    <t>Model: Mylab Omega</t>
  </si>
  <si>
    <t>Brainstem Evoked Response Audiometer with ASSR</t>
  </si>
  <si>
    <t xml:space="preserve">M/s.Hardik Meditech
</t>
  </si>
  <si>
    <t>Make: Path Medical</t>
  </si>
  <si>
    <t>Model: Sentiero Advanced</t>
  </si>
  <si>
    <t xml:space="preserve">OAE (Oto acoustic Emission 
OAE  Testing 
</t>
  </si>
  <si>
    <t>M/s. Hardik Meditech</t>
  </si>
  <si>
    <t>Model: Sentiero Screening</t>
  </si>
  <si>
    <t>Impedance Tympanometer/ Audiometer</t>
  </si>
  <si>
    <t xml:space="preserve">
Make: Path Medical
</t>
  </si>
  <si>
    <t>Model: Sentiero Desktop</t>
  </si>
  <si>
    <t>Oto Scope with Ear Specula</t>
  </si>
  <si>
    <t>Make: Hardik Medi Tech</t>
  </si>
  <si>
    <t>Model: OTO-004</t>
  </si>
  <si>
    <t>General Set - ENT</t>
  </si>
  <si>
    <t>A- Scan</t>
  </si>
  <si>
    <t>M/s Appasamy Associates Pvt. Ltd,</t>
  </si>
  <si>
    <t>Make: Appasamy Associates Pvt. Ltd,</t>
  </si>
  <si>
    <t xml:space="preserve">Model: Appascan Max </t>
  </si>
  <si>
    <t xml:space="preserve">B-Scan  </t>
  </si>
  <si>
    <t xml:space="preserve">Model: Marvel B- scan  </t>
  </si>
  <si>
    <t xml:space="preserve">Keratometer
</t>
  </si>
  <si>
    <t xml:space="preserve">Model: AARK - 1M  </t>
  </si>
  <si>
    <t>Small Incision Cataract Surgery sets</t>
  </si>
  <si>
    <t>M/s Stride Organics Pvt. Ltd</t>
  </si>
  <si>
    <t>Make: Microtrack</t>
  </si>
  <si>
    <t>Chalazion excision sets</t>
  </si>
  <si>
    <t>M/s Medical Bionic Private Limited</t>
  </si>
  <si>
    <t>Make: Winglobe</t>
  </si>
  <si>
    <t>Model: Nerve ENT 8 Channel IONM/RNIONMS08CH</t>
  </si>
  <si>
    <t xml:space="preserve">Mortuary Cooler / Refrigerator with 
arrangement to keep 4 bodies
</t>
  </si>
  <si>
    <t>M/s. Sri Vijaya Scientifics</t>
  </si>
  <si>
    <t xml:space="preserve">Model: 
NU-MC-4
</t>
  </si>
  <si>
    <t xml:space="preserve">Open Surgery Instruments Set
</t>
  </si>
  <si>
    <t xml:space="preserve">M/s. South India Surgical Co Pvt. Ltd 
</t>
  </si>
  <si>
    <t>Make: SISCO</t>
  </si>
  <si>
    <t>Model: SISCO</t>
  </si>
  <si>
    <t xml:space="preserve">Donor couch
</t>
  </si>
  <si>
    <t xml:space="preserve">M/s. Sri Vijaya Scientifics
Make: Remi
Model: RDC-3M
</t>
  </si>
  <si>
    <t>Make: Remi</t>
  </si>
  <si>
    <t xml:space="preserve">Model: RDC-3M
</t>
  </si>
  <si>
    <t xml:space="preserve">9,072
(Excl. of GST
</t>
  </si>
  <si>
    <t>DVT Prophylaxis Pump</t>
  </si>
  <si>
    <t>M/s. Sapphire Enterprises</t>
  </si>
  <si>
    <t>Make: Cardinal Health</t>
  </si>
  <si>
    <t>Model: SCD 700</t>
  </si>
  <si>
    <t>Intubation Kit</t>
  </si>
  <si>
    <t>Make: Anaesthetics</t>
  </si>
  <si>
    <t>Model: Assorted</t>
  </si>
  <si>
    <t>High Speed Autoclave</t>
  </si>
  <si>
    <t>M/s. Unicare Medical System</t>
  </si>
  <si>
    <t>Make: Unicare Medical System</t>
  </si>
  <si>
    <t xml:space="preserve">Model: 
UMS-507A
</t>
  </si>
  <si>
    <t>Blood Fluid Warmer</t>
  </si>
  <si>
    <r>
      <t xml:space="preserve">M/s. </t>
    </r>
    <r>
      <rPr>
        <sz val="11"/>
        <color theme="1"/>
        <rFont val="Arial"/>
        <family val="2"/>
      </rPr>
      <t>Indus Pharma Agency</t>
    </r>
  </si>
  <si>
    <t>Make: Akas Medical Equipment</t>
  </si>
  <si>
    <t>Model: Akas Warmjet IV</t>
  </si>
  <si>
    <t xml:space="preserve">15,000/-
</t>
  </si>
  <si>
    <t>03.02.2026</t>
  </si>
  <si>
    <t>02.02.2028</t>
  </si>
  <si>
    <t>M/s. Royal Agencies</t>
  </si>
  <si>
    <t xml:space="preserve">Make: Smiths Medical
</t>
  </si>
  <si>
    <t>Model: HL-90</t>
  </si>
  <si>
    <t>Multipara Monitor  
(7 Para)</t>
  </si>
  <si>
    <t>M/s Bharghav Enterprises</t>
  </si>
  <si>
    <t>Model: AB-50</t>
  </si>
  <si>
    <t xml:space="preserve">59,800/-
</t>
  </si>
  <si>
    <t>Infusion Pump</t>
  </si>
  <si>
    <t xml:space="preserve">M/s. Darshani Healthcare      </t>
  </si>
  <si>
    <r>
      <t>Make:</t>
    </r>
    <r>
      <rPr>
        <sz val="11"/>
        <color theme="1"/>
        <rFont val="Arial"/>
        <family val="2"/>
      </rPr>
      <t xml:space="preserve">Helmier                  </t>
    </r>
  </si>
  <si>
    <t xml:space="preserve">Model: Graseby 1200    </t>
  </si>
  <si>
    <t xml:space="preserve">1,518/-
</t>
  </si>
  <si>
    <t>M/s. Lorram Medical Systems Private Limited</t>
  </si>
  <si>
    <t xml:space="preserve">Make: Akas </t>
  </si>
  <si>
    <t>Model: Infumax 5005</t>
  </si>
  <si>
    <t>Syringe Pump</t>
  </si>
  <si>
    <t>Model: Graseby 2100 Plus</t>
  </si>
  <si>
    <t>969/- (Excl. of GST)</t>
  </si>
  <si>
    <t>Model: Akas TerumaxRX</t>
  </si>
  <si>
    <t>Instrument Trolley</t>
  </si>
  <si>
    <t>Vardhini Industries</t>
  </si>
  <si>
    <t>Make: Vardhini Industries</t>
  </si>
  <si>
    <t>Model: Vardhini Industries</t>
  </si>
  <si>
    <t>Over bed table</t>
  </si>
  <si>
    <t>Unicare Medical System</t>
  </si>
  <si>
    <t>Make: Unicare medical system</t>
  </si>
  <si>
    <t>Model: UMS- GB03</t>
  </si>
  <si>
    <t>Crash cart</t>
  </si>
  <si>
    <t>M/s.COSMOS Health tech Pvt. Ltd</t>
  </si>
  <si>
    <t>Make: Labycare</t>
  </si>
  <si>
    <t>Model: SKSS1108</t>
  </si>
  <si>
    <t>12 channel ECG machine</t>
  </si>
  <si>
    <t>M/s  Bhargav Enterprises</t>
  </si>
  <si>
    <t>Model: ECG-12I</t>
  </si>
  <si>
    <t>Occular Coherence Tomography (OCT)</t>
  </si>
  <si>
    <t>M/s Colloq  Marketing Pvt. Ltd</t>
  </si>
  <si>
    <t>Make: Zeiss</t>
  </si>
  <si>
    <t>Model: Cirrus 6000 AngioPlex</t>
  </si>
  <si>
    <t xml:space="preserve">Distance Vision Chart (Adult &amp;Pediatric) </t>
  </si>
  <si>
    <t>M/s Tarun Enterprises</t>
  </si>
  <si>
    <t>Make:Optitech</t>
  </si>
  <si>
    <t>Model:Vision Drum foldable</t>
  </si>
  <si>
    <t>Streak Retinoscope</t>
  </si>
  <si>
    <t>Model:SR-2</t>
  </si>
  <si>
    <t>Auto Lensmeter</t>
  </si>
  <si>
    <t>Model:TL-6800</t>
  </si>
  <si>
    <t>Prism Bars Vertical &amp; Horizontal</t>
  </si>
  <si>
    <t>Model:Prism bar</t>
  </si>
  <si>
    <t>Opaque Occluder</t>
  </si>
  <si>
    <t>Model: Opaque occluder</t>
  </si>
  <si>
    <t>Lea Symbol Chart</t>
  </si>
  <si>
    <t>Schiotz Tonometer</t>
  </si>
  <si>
    <t>Trail Box With Trail Frames</t>
  </si>
  <si>
    <t>Model:BetaRB25</t>
  </si>
  <si>
    <t xml:space="preserve">Plus 90D&amp;Plus 70D Lens - </t>
  </si>
  <si>
    <t>Model:90D, 78D</t>
  </si>
  <si>
    <t xml:space="preserve">Schimers Test strips -(100 Strips Sterile) </t>
  </si>
  <si>
    <t>Model:Schimers Test Strips</t>
  </si>
  <si>
    <t>FIurosence strips</t>
  </si>
  <si>
    <t>Model:Flurosence Strips</t>
  </si>
  <si>
    <t>MRI 1.5 Tesla with 60 cm Bore</t>
  </si>
  <si>
    <t>Wipro GE Healthcare Pvt. Ltd</t>
  </si>
  <si>
    <t>Make: GEHC</t>
  </si>
  <si>
    <t>Model: Signa Prime Elite</t>
  </si>
  <si>
    <t>Heart Lung Machine (Latest Version)</t>
  </si>
  <si>
    <t>M/s Arcom Medical Devices Pvt Ltd</t>
  </si>
  <si>
    <t>Make: LIVANOVA, Germany</t>
  </si>
  <si>
    <t>Model: Essenz Pulse HCU-3T</t>
  </si>
  <si>
    <t>2,69,43,000</t>
  </si>
  <si>
    <t>13.03.2026</t>
  </si>
  <si>
    <t>12.03.2028</t>
  </si>
  <si>
    <t>Make: MBS India</t>
  </si>
  <si>
    <t>Model: Atlas N3</t>
  </si>
  <si>
    <t>M/s JS Industries</t>
  </si>
  <si>
    <t>Make: Cardiolabs healthcare India</t>
  </si>
  <si>
    <t>Model: Cflow-9C</t>
  </si>
  <si>
    <t>Make: JS Industries</t>
  </si>
  <si>
    <t>Model: JS Industries</t>
  </si>
  <si>
    <t>Make: Surgicoin</t>
  </si>
  <si>
    <t>Model: SWE-153500</t>
  </si>
  <si>
    <t>Operation Table Hydraulic Major</t>
  </si>
  <si>
    <t>Model: ST-510500</t>
  </si>
  <si>
    <t>Shadowless Lamp Ceiling Type Major</t>
  </si>
  <si>
    <t xml:space="preserve">Optilux </t>
  </si>
  <si>
    <t>Operating Table 
(Motor Set)</t>
  </si>
  <si>
    <t>M/s Bhargav Enterprises</t>
  </si>
  <si>
    <t>Make: Rumax</t>
  </si>
  <si>
    <t>Model: OT 2012</t>
  </si>
  <si>
    <t>Red green goggles</t>
  </si>
  <si>
    <t>Model: DST01</t>
  </si>
  <si>
    <t xml:space="preserve">Stereoacuity chart with 3D Goggles </t>
  </si>
  <si>
    <t>ISHIHARA Chart Block</t>
  </si>
  <si>
    <t>M/s. Akriti Ophthalmic Pvt. Ltd</t>
  </si>
  <si>
    <t>Model: AOPL-0031-Myopia correction AOPL-0032-Hyperopia correction AOPL-0033-Prescription correction</t>
  </si>
  <si>
    <t>23.07.2026</t>
  </si>
  <si>
    <t>22.07.2028</t>
  </si>
  <si>
    <t>M/s. Lofty Optical Industries</t>
  </si>
  <si>
    <t>Make: Lofty</t>
  </si>
  <si>
    <t>Model: Lofty</t>
  </si>
  <si>
    <t>C-Arm Mid End flat panel detector</t>
  </si>
  <si>
    <t>Sri Vijaya Scientifics</t>
  </si>
  <si>
    <t>Arthroscopy system with HD</t>
  </si>
  <si>
    <t>M/s. Medical Bionic Private Limited</t>
  </si>
  <si>
    <t>Make: Stryker</t>
  </si>
  <si>
    <t>Model: Stryker Crossfire 2 Console +1688 Camera along with accessories</t>
  </si>
  <si>
    <t>General Orthopedic Instruments</t>
  </si>
  <si>
    <t>M/s BMT Medical Devices Pvt Ltd</t>
  </si>
  <si>
    <t>Make: New Vision Corporation</t>
  </si>
  <si>
    <t>Model: B-Martin</t>
  </si>
  <si>
    <t>Plasma Sterilizer</t>
  </si>
  <si>
    <t>M/s. Genist Technocracy Pvt. Ltd</t>
  </si>
  <si>
    <t>Make: Genist</t>
  </si>
  <si>
    <t>Model: GTPS-001</t>
  </si>
  <si>
    <t>Lithotripsy (ESWL) - Extra Corporeal Shock Wave Lithotripter</t>
  </si>
  <si>
    <t>M/s. Medex India Pvt. Ltd</t>
  </si>
  <si>
    <t>Make: Storz Medical AG, Switzerland</t>
  </si>
  <si>
    <t xml:space="preserve">Phase - I, Furniture RC  items for (2)  Years - BFC date : 25.09.2024 - 24.09.2026 - Extended for 1 more month </t>
  </si>
  <si>
    <t>S. No</t>
  </si>
  <si>
    <t>Name of the Firm M/s</t>
  </si>
  <si>
    <t>Unit Rate exclusive of Taxes in Rs.</t>
  </si>
  <si>
    <t>GST amount in Rs.</t>
  </si>
  <si>
    <t>Unit price incl. of GST in Rs.</t>
  </si>
  <si>
    <t>L1 Matching remarks</t>
  </si>
  <si>
    <t>Patient Cot with mattress</t>
  </si>
  <si>
    <t>JS industries</t>
  </si>
  <si>
    <t>L-1</t>
  </si>
  <si>
    <t>Vardhini industries.</t>
  </si>
  <si>
    <t>L-2</t>
  </si>
  <si>
    <t>Accepted</t>
  </si>
  <si>
    <t>Shruthikesh industries private limited</t>
  </si>
  <si>
    <t>L-3</t>
  </si>
  <si>
    <t>Attendant Cot with mattress</t>
  </si>
  <si>
    <t>JS Industries</t>
  </si>
  <si>
    <t>Shruthikesh Industries Private Limited</t>
  </si>
  <si>
    <t>Full Fowler Cots Non - Motorized with Mattresses</t>
  </si>
  <si>
    <t>Samar steel industries</t>
  </si>
  <si>
    <t>Vinod Medical Systems Pvt Ltd</t>
  </si>
  <si>
    <t>Pediatrics full fowler cots with mattress</t>
  </si>
  <si>
    <t>Samar steel Industries</t>
  </si>
  <si>
    <t>Student cot with mattress</t>
  </si>
  <si>
    <t>Vardhini Industries.</t>
  </si>
  <si>
    <t>Zenith Meta plast Pvt Ltd</t>
  </si>
  <si>
    <t>Pediatric cot with mattress</t>
  </si>
  <si>
    <t>Examination Table with foot step</t>
  </si>
  <si>
    <t>Revolving stool</t>
  </si>
  <si>
    <t>Demo room chairs with writing Pad</t>
  </si>
  <si>
    <t>Patient attendant Stool</t>
  </si>
  <si>
    <t>SamarSteel industries</t>
  </si>
  <si>
    <t>3 Seater Visitor Bench</t>
  </si>
  <si>
    <t>Conference hall chairs cushion type</t>
  </si>
  <si>
    <t>Computer chair</t>
  </si>
  <si>
    <t>Plastic Chair</t>
  </si>
  <si>
    <t>Executive Chairs High back</t>
  </si>
  <si>
    <t>Executive Chairs Mid back</t>
  </si>
  <si>
    <t>Wheel Chair Fixed</t>
  </si>
  <si>
    <t>M/s. JS Industries</t>
  </si>
  <si>
    <t>Wheel Chair Foldable</t>
  </si>
  <si>
    <t>Almirah Big Size without Locker</t>
  </si>
  <si>
    <t>Twenty First Century Techno Products Private Limited</t>
  </si>
  <si>
    <t>Almirah with acrylic door</t>
  </si>
  <si>
    <t>Almirah with Safe Locker</t>
  </si>
  <si>
    <t>8 in 1 Lockers for Students or staff</t>
  </si>
  <si>
    <t>Almirah Small Size</t>
  </si>
  <si>
    <t xml:space="preserve"> Accepted</t>
  </si>
  <si>
    <t>Office Table small size</t>
  </si>
  <si>
    <t>Zenith Metaplast Pvt Ltd</t>
  </si>
  <si>
    <t>Office Table Big size</t>
  </si>
  <si>
    <t>Student Study table</t>
  </si>
  <si>
    <t>2 seater bench cum Desk</t>
  </si>
  <si>
    <t>d</t>
  </si>
  <si>
    <t>3 seater bench cum Desk</t>
  </si>
  <si>
    <t>Computer Table</t>
  </si>
  <si>
    <t>8 Seater Dining Table with benches</t>
  </si>
  <si>
    <t>Library Table</t>
  </si>
  <si>
    <t>Stretcher on Trolley - Fully Stainless Steel</t>
  </si>
  <si>
    <t>Trolley for Linen</t>
  </si>
  <si>
    <t>Bed side screens</t>
  </si>
  <si>
    <t>M/s Chintamani Paraswanath Enterprises</t>
  </si>
  <si>
    <t>M/s Shruthikesh Industries Private Limited</t>
  </si>
  <si>
    <t>Saline Stand Stainless Steel</t>
  </si>
  <si>
    <t>Chintamani Paraswanath Enterprises</t>
  </si>
  <si>
    <t>Open Rack</t>
  </si>
  <si>
    <t>Samar Steel Industries</t>
  </si>
  <si>
    <t>Bed side Locker</t>
  </si>
  <si>
    <t>Foot steps</t>
  </si>
  <si>
    <t>M/s. Shruthikesh Industries Private Limited</t>
  </si>
  <si>
    <t>M/s. Chintamani Paraswanath Enterprises</t>
  </si>
  <si>
    <t>Pillows</t>
  </si>
  <si>
    <t>Phase - II, Furniture RC  items for (2)  Years - BFC date: 23.09.2025 - 22.09.2027</t>
  </si>
  <si>
    <t>Office Chairs 'S' Type with armrest</t>
  </si>
  <si>
    <t>Office Chairs 'S' Type without armrest</t>
  </si>
  <si>
    <t>Table for Seminar/Conference Hall (12-seater)</t>
  </si>
  <si>
    <t>Additional table for Seminar/Conference Hall (2-seater)</t>
  </si>
  <si>
    <t>Principal/Superintendent/HOD executive chair (High back)</t>
  </si>
  <si>
    <t>Doctors executive chair (Mid back)</t>
  </si>
  <si>
    <t>Visitor chair</t>
  </si>
  <si>
    <t>CSSD - Closed Stainless Steel trolley</t>
  </si>
  <si>
    <t>Instrument Cabinet</t>
  </si>
  <si>
    <t>Table for immunization or FP or counseling</t>
  </si>
  <si>
    <t>CSSD Rack</t>
  </si>
  <si>
    <t>Shoe Rack</t>
  </si>
  <si>
    <t>Complaint or Suggestion Box</t>
  </si>
  <si>
    <t>Journal Stand</t>
  </si>
  <si>
    <t>Surgeon's / Lab Stool</t>
  </si>
  <si>
    <t>Oxygen Cylinder Trolley</t>
  </si>
  <si>
    <t>M/s.JS Industries</t>
  </si>
  <si>
    <t>ECG Machine Trolley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</si>
</sst>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m\ d\,\ yyyy;@"/>
    <numFmt numFmtId="166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2"/>
      <color rgb="FF002060"/>
      <name val="Arial"/>
      <family val="2"/>
    </font>
    <font>
      <b/>
      <sz val="12"/>
      <color rgb="FF00206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4" fontId="5" fillId="2" borderId="1" xfId="1" applyNumberFormat="1" applyFont="1" applyFill="1" applyBorder="1" applyAlignment="1">
      <alignment horizontal="right" vertical="top" wrapText="1"/>
    </xf>
    <xf numFmtId="164" fontId="6" fillId="0" borderId="1" xfId="1" applyNumberFormat="1" applyFont="1" applyFill="1" applyBorder="1" applyAlignment="1">
      <alignment horizontal="center" vertical="top" wrapText="1"/>
    </xf>
    <xf numFmtId="165" fontId="5" fillId="2" borderId="1" xfId="0" applyNumberFormat="1" applyFont="1" applyFill="1" applyBorder="1" applyAlignment="1">
      <alignment horizontal="center" vertical="top" wrapText="1"/>
    </xf>
    <xf numFmtId="164" fontId="6" fillId="3" borderId="1" xfId="1" quotePrefix="1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6" fontId="7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1" applyNumberFormat="1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164" fontId="5" fillId="2" borderId="1" xfId="1" applyNumberFormat="1" applyFont="1" applyFill="1" applyBorder="1" applyAlignment="1">
      <alignment horizontal="center" vertical="top" wrapText="1"/>
    </xf>
    <xf numFmtId="164" fontId="5" fillId="2" borderId="1" xfId="1" applyNumberFormat="1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vertical="top"/>
    </xf>
    <xf numFmtId="164" fontId="6" fillId="0" borderId="1" xfId="1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9" fontId="5" fillId="2" borderId="1" xfId="0" applyNumberFormat="1" applyFont="1" applyFill="1" applyBorder="1" applyAlignment="1">
      <alignment horizontal="center" vertical="top" wrapText="1"/>
    </xf>
    <xf numFmtId="3" fontId="5" fillId="2" borderId="1" xfId="0" applyNumberFormat="1" applyFont="1" applyFill="1" applyBorder="1" applyAlignment="1">
      <alignment horizontal="center" vertical="top" wrapText="1"/>
    </xf>
    <xf numFmtId="164" fontId="6" fillId="2" borderId="1" xfId="1" quotePrefix="1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164" fontId="7" fillId="2" borderId="1" xfId="1" applyNumberFormat="1" applyFont="1" applyFill="1" applyBorder="1" applyAlignment="1">
      <alignment horizontal="right" vertical="top" wrapText="1"/>
    </xf>
    <xf numFmtId="9" fontId="7" fillId="2" borderId="1" xfId="0" applyNumberFormat="1" applyFont="1" applyFill="1" applyBorder="1" applyAlignment="1">
      <alignment horizontal="center" vertical="top" wrapText="1"/>
    </xf>
    <xf numFmtId="164" fontId="4" fillId="0" borderId="1" xfId="1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165" fontId="7" fillId="2" borderId="0" xfId="0" applyNumberFormat="1" applyFont="1" applyFill="1" applyAlignment="1">
      <alignment horizontal="center" vertical="top" wrapText="1"/>
    </xf>
    <xf numFmtId="164" fontId="7" fillId="2" borderId="1" xfId="1" applyNumberFormat="1" applyFont="1" applyFill="1" applyBorder="1" applyAlignment="1">
      <alignment horizontal="center" vertical="top" wrapText="1"/>
    </xf>
    <xf numFmtId="3" fontId="7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164" fontId="9" fillId="2" borderId="1" xfId="1" applyNumberFormat="1" applyFont="1" applyFill="1" applyBorder="1" applyAlignment="1">
      <alignment horizontal="right" vertical="top" wrapText="1"/>
    </xf>
    <xf numFmtId="9" fontId="9" fillId="2" borderId="1" xfId="0" applyNumberFormat="1" applyFont="1" applyFill="1" applyBorder="1" applyAlignment="1">
      <alignment horizontal="center" vertical="top" wrapText="1"/>
    </xf>
    <xf numFmtId="164" fontId="10" fillId="0" borderId="1" xfId="1" applyNumberFormat="1" applyFont="1" applyFill="1" applyBorder="1" applyAlignment="1">
      <alignment horizontal="center" vertical="top" wrapText="1"/>
    </xf>
    <xf numFmtId="3" fontId="9" fillId="2" borderId="1" xfId="0" applyNumberFormat="1" applyFont="1" applyFill="1" applyBorder="1" applyAlignment="1">
      <alignment horizontal="center" vertical="top" wrapText="1"/>
    </xf>
    <xf numFmtId="165" fontId="9" fillId="2" borderId="1" xfId="0" applyNumberFormat="1" applyFont="1" applyFill="1" applyBorder="1" applyAlignment="1">
      <alignment horizontal="center" vertical="top" wrapText="1"/>
    </xf>
    <xf numFmtId="164" fontId="9" fillId="2" borderId="1" xfId="1" applyNumberFormat="1" applyFont="1" applyFill="1" applyBorder="1" applyAlignment="1">
      <alignment horizontal="center" vertical="top" wrapText="1"/>
    </xf>
    <xf numFmtId="0" fontId="9" fillId="2" borderId="0" xfId="0" applyFont="1" applyFill="1" applyAlignment="1">
      <alignment vertical="top" wrapText="1"/>
    </xf>
    <xf numFmtId="164" fontId="5" fillId="2" borderId="1" xfId="1" quotePrefix="1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164" fontId="9" fillId="0" borderId="1" xfId="1" applyNumberFormat="1" applyFont="1" applyFill="1" applyBorder="1" applyAlignment="1">
      <alignment horizontal="right" vertical="top" wrapText="1"/>
    </xf>
    <xf numFmtId="9" fontId="9" fillId="0" borderId="1" xfId="0" applyNumberFormat="1" applyFont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right" vertical="top" wrapText="1"/>
    </xf>
    <xf numFmtId="165" fontId="9" fillId="0" borderId="1" xfId="0" applyNumberFormat="1" applyFont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165" fontId="6" fillId="2" borderId="1" xfId="0" applyNumberFormat="1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vertical="top" wrapText="1"/>
    </xf>
    <xf numFmtId="43" fontId="9" fillId="2" borderId="1" xfId="1" applyFont="1" applyFill="1" applyBorder="1" applyAlignment="1">
      <alignment horizontal="right" vertical="top" wrapText="1"/>
    </xf>
    <xf numFmtId="43" fontId="10" fillId="0" borderId="1" xfId="1" applyFont="1" applyFill="1" applyBorder="1" applyAlignment="1">
      <alignment horizontal="center" vertical="top" wrapText="1"/>
    </xf>
    <xf numFmtId="43" fontId="10" fillId="0" borderId="1" xfId="1" applyFont="1" applyFill="1" applyBorder="1" applyAlignment="1">
      <alignment horizontal="right" vertical="top" wrapText="1"/>
    </xf>
    <xf numFmtId="164" fontId="9" fillId="2" borderId="1" xfId="1" applyNumberFormat="1" applyFont="1" applyFill="1" applyBorder="1" applyAlignment="1">
      <alignment horizontal="center" vertical="top" wrapText="1"/>
    </xf>
    <xf numFmtId="10" fontId="9" fillId="2" borderId="1" xfId="0" applyNumberFormat="1" applyFont="1" applyFill="1" applyBorder="1" applyAlignment="1">
      <alignment horizontal="center" vertical="top" wrapText="1"/>
    </xf>
    <xf numFmtId="3" fontId="11" fillId="0" borderId="1" xfId="0" applyNumberFormat="1" applyFont="1" applyBorder="1" applyAlignment="1">
      <alignment horizontal="right" vertical="top"/>
    </xf>
    <xf numFmtId="3" fontId="12" fillId="0" borderId="1" xfId="0" applyNumberFormat="1" applyFont="1" applyBorder="1" applyAlignment="1">
      <alignment vertical="top"/>
    </xf>
    <xf numFmtId="3" fontId="7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vertical="top"/>
    </xf>
    <xf numFmtId="3" fontId="13" fillId="0" borderId="1" xfId="0" applyNumberFormat="1" applyFont="1" applyBorder="1" applyAlignment="1">
      <alignment vertical="top"/>
    </xf>
    <xf numFmtId="9" fontId="13" fillId="0" borderId="1" xfId="0" applyNumberFormat="1" applyFont="1" applyBorder="1" applyAlignment="1">
      <alignment horizontal="center" vertical="top" wrapText="1"/>
    </xf>
    <xf numFmtId="3" fontId="14" fillId="0" borderId="1" xfId="0" applyNumberFormat="1" applyFont="1" applyBorder="1" applyAlignment="1">
      <alignment vertical="top" wrapText="1"/>
    </xf>
    <xf numFmtId="3" fontId="7" fillId="0" borderId="1" xfId="0" applyNumberFormat="1" applyFont="1" applyBorder="1" applyAlignment="1">
      <alignment horizontal="center" vertical="top" wrapText="1"/>
    </xf>
    <xf numFmtId="3" fontId="15" fillId="0" borderId="1" xfId="0" applyNumberFormat="1" applyFont="1" applyBorder="1" applyAlignment="1">
      <alignment horizontal="right" vertical="top"/>
    </xf>
    <xf numFmtId="3" fontId="16" fillId="0" borderId="1" xfId="0" applyNumberFormat="1" applyFont="1" applyBorder="1" applyAlignment="1">
      <alignment horizontal="right" vertical="top" wrapText="1"/>
    </xf>
    <xf numFmtId="3" fontId="15" fillId="0" borderId="1" xfId="0" applyNumberFormat="1" applyFont="1" applyBorder="1" applyAlignment="1">
      <alignment horizontal="center" vertical="top"/>
    </xf>
    <xf numFmtId="9" fontId="15" fillId="0" borderId="1" xfId="0" applyNumberFormat="1" applyFont="1" applyBorder="1" applyAlignment="1">
      <alignment horizontal="center" vertical="top" wrapText="1"/>
    </xf>
    <xf numFmtId="3" fontId="16" fillId="0" borderId="1" xfId="0" applyNumberFormat="1" applyFont="1" applyBorder="1" applyAlignment="1">
      <alignment vertical="top"/>
    </xf>
    <xf numFmtId="3" fontId="16" fillId="0" borderId="1" xfId="0" applyNumberFormat="1" applyFont="1" applyBorder="1" applyAlignment="1">
      <alignment horizontal="center" vertical="top" wrapText="1"/>
    </xf>
    <xf numFmtId="3" fontId="13" fillId="0" borderId="1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 wrapText="1"/>
    </xf>
    <xf numFmtId="3" fontId="13" fillId="0" borderId="1" xfId="0" applyNumberFormat="1" applyFont="1" applyBorder="1" applyAlignment="1">
      <alignment horizontal="right" vertical="top" wrapText="1"/>
    </xf>
    <xf numFmtId="3" fontId="17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right" vertical="top"/>
    </xf>
    <xf numFmtId="3" fontId="13" fillId="0" borderId="1" xfId="0" applyNumberFormat="1" applyFont="1" applyBorder="1" applyAlignment="1">
      <alignment horizontal="center" vertical="top"/>
    </xf>
    <xf numFmtId="3" fontId="14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right" vertical="top" wrapText="1"/>
    </xf>
    <xf numFmtId="43" fontId="4" fillId="0" borderId="1" xfId="1" applyFont="1" applyFill="1" applyBorder="1" applyAlignment="1">
      <alignment horizontal="left" vertical="top" wrapText="1"/>
    </xf>
    <xf numFmtId="3" fontId="14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justify" vertical="top"/>
    </xf>
    <xf numFmtId="0" fontId="1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9" fontId="15" fillId="0" borderId="1" xfId="0" applyNumberFormat="1" applyFont="1" applyBorder="1" applyAlignment="1">
      <alignment horizontal="center" vertical="top"/>
    </xf>
    <xf numFmtId="3" fontId="14" fillId="0" borderId="1" xfId="0" applyNumberFormat="1" applyFont="1" applyBorder="1" applyAlignment="1">
      <alignment horizontal="right" vertical="top"/>
    </xf>
    <xf numFmtId="0" fontId="1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/>
    </xf>
    <xf numFmtId="164" fontId="4" fillId="0" borderId="1" xfId="1" applyNumberFormat="1" applyFont="1" applyFill="1" applyBorder="1" applyAlignment="1">
      <alignment horizontal="right" vertical="top" wrapText="1"/>
    </xf>
    <xf numFmtId="0" fontId="15" fillId="0" borderId="1" xfId="0" applyFont="1" applyBorder="1" applyAlignment="1">
      <alignment horizontal="center" vertical="top"/>
    </xf>
    <xf numFmtId="3" fontId="17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right" vertical="top"/>
    </xf>
    <xf numFmtId="0" fontId="17" fillId="0" borderId="1" xfId="0" applyFont="1" applyBorder="1" applyAlignment="1">
      <alignment horizontal="center" vertical="top"/>
    </xf>
    <xf numFmtId="9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horizontal="left" vertical="top" wrapText="1"/>
    </xf>
    <xf numFmtId="43" fontId="7" fillId="2" borderId="1" xfId="1" applyFont="1" applyFill="1" applyBorder="1" applyAlignment="1">
      <alignment horizontal="right" vertical="top" wrapText="1"/>
    </xf>
    <xf numFmtId="43" fontId="4" fillId="0" borderId="1" xfId="1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left" vertical="top" wrapText="1"/>
    </xf>
    <xf numFmtId="164" fontId="7" fillId="2" borderId="0" xfId="1" applyNumberFormat="1" applyFont="1" applyFill="1" applyAlignment="1">
      <alignment horizontal="right" vertical="top" wrapText="1"/>
    </xf>
    <xf numFmtId="164" fontId="4" fillId="0" borderId="0" xfId="1" applyNumberFormat="1" applyFont="1" applyFill="1" applyAlignment="1">
      <alignment horizontal="center" vertical="top" wrapText="1"/>
    </xf>
    <xf numFmtId="164" fontId="7" fillId="2" borderId="0" xfId="1" applyNumberFormat="1" applyFont="1" applyFill="1" applyAlignment="1">
      <alignment horizontal="center" vertical="top" wrapText="1"/>
    </xf>
    <xf numFmtId="0" fontId="19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textRotation="90" wrapTex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vertical="top" wrapText="1"/>
    </xf>
    <xf numFmtId="4" fontId="21" fillId="0" borderId="1" xfId="0" applyNumberFormat="1" applyFont="1" applyBorder="1" applyAlignment="1">
      <alignment horizontal="right" vertical="top" wrapText="1"/>
    </xf>
    <xf numFmtId="3" fontId="20" fillId="0" borderId="1" xfId="0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horizontal="center" vertical="top"/>
    </xf>
    <xf numFmtId="1" fontId="0" fillId="0" borderId="0" xfId="0" applyNumberFormat="1"/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 wrapText="1"/>
    </xf>
    <xf numFmtId="3" fontId="21" fillId="0" borderId="1" xfId="0" applyNumberFormat="1" applyFont="1" applyBorder="1" applyAlignment="1">
      <alignment horizontal="right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vertical="top" wrapText="1"/>
    </xf>
    <xf numFmtId="4" fontId="22" fillId="0" borderId="1" xfId="0" applyNumberFormat="1" applyFont="1" applyBorder="1" applyAlignment="1">
      <alignment horizontal="right" vertical="top" wrapText="1"/>
    </xf>
    <xf numFmtId="0" fontId="22" fillId="0" borderId="1" xfId="0" applyFont="1" applyBorder="1" applyAlignment="1">
      <alignment horizontal="right" vertical="top" wrapText="1"/>
    </xf>
    <xf numFmtId="3" fontId="23" fillId="0" borderId="1" xfId="0" applyNumberFormat="1" applyFont="1" applyBorder="1" applyAlignment="1">
      <alignment horizontal="right" vertical="top" wrapText="1"/>
    </xf>
    <xf numFmtId="0" fontId="22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19" fillId="0" borderId="4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/>
    </xf>
    <xf numFmtId="3" fontId="25" fillId="0" borderId="1" xfId="0" applyNumberFormat="1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3" fontId="26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vertical="top"/>
    </xf>
    <xf numFmtId="0" fontId="27" fillId="0" borderId="1" xfId="0" applyFont="1" applyBorder="1" applyAlignment="1">
      <alignment horizontal="center" vertical="top"/>
    </xf>
    <xf numFmtId="3" fontId="28" fillId="0" borderId="1" xfId="0" applyNumberFormat="1" applyFont="1" applyBorder="1" applyAlignment="1">
      <alignment horizontal="right" vertical="center" wrapText="1"/>
    </xf>
    <xf numFmtId="0" fontId="25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/>
    </xf>
    <xf numFmtId="0" fontId="27" fillId="0" borderId="1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7" fillId="0" borderId="1" xfId="0" applyFont="1" applyBorder="1" applyAlignment="1">
      <alignment horizontal="center" vertical="top" wrapText="1"/>
    </xf>
    <xf numFmtId="0" fontId="21" fillId="0" borderId="6" xfId="0" applyFont="1" applyBorder="1" applyAlignment="1">
      <alignment vertical="top" wrapText="1"/>
    </xf>
    <xf numFmtId="0" fontId="29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3" fontId="25" fillId="0" borderId="1" xfId="0" applyNumberFormat="1" applyFont="1" applyBorder="1" applyAlignment="1">
      <alignment horizontal="center" vertical="top" wrapText="1"/>
    </xf>
    <xf numFmtId="3" fontId="27" fillId="0" borderId="1" xfId="0" applyNumberFormat="1" applyFont="1" applyBorder="1" applyAlignment="1">
      <alignment horizontal="center" vertical="top" wrapText="1"/>
    </xf>
    <xf numFmtId="0" fontId="0" fillId="0" borderId="1" xfId="0" applyBorder="1"/>
    <xf numFmtId="0" fontId="1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F21-0FFF-4EA9-9AB2-2A8A9F665A60}">
  <sheetPr>
    <tabColor theme="6" tint="-0.249977111117893"/>
  </sheetPr>
  <dimension ref="A1:S284"/>
  <sheetViews>
    <sheetView tabSelected="1" zoomScaleSheetLayoutView="100" workbookViewId="0">
      <pane xSplit="4" ySplit="1" topLeftCell="I29" activePane="bottomRight" state="frozen"/>
      <selection pane="topRight" activeCell="E1" sqref="E1"/>
      <selection pane="bottomLeft" activeCell="A2" sqref="A2"/>
      <selection pane="bottomRight" activeCell="B40" sqref="B40"/>
    </sheetView>
  </sheetViews>
  <sheetFormatPr defaultColWidth="9.1796875" defaultRowHeight="15.5" x14ac:dyDescent="0.35"/>
  <cols>
    <col min="1" max="1" width="5.54296875" style="115" customWidth="1"/>
    <col min="2" max="2" width="21.81640625" style="116" customWidth="1"/>
    <col min="3" max="3" width="19.81640625" style="15" customWidth="1"/>
    <col min="4" max="4" width="10.81640625" style="115" bestFit="1" customWidth="1"/>
    <col min="5" max="5" width="18.1796875" style="15" customWidth="1"/>
    <col min="6" max="6" width="19.7265625" style="15" customWidth="1"/>
    <col min="7" max="7" width="14.7265625" style="117" customWidth="1"/>
    <col min="8" max="8" width="14.26953125" style="115" bestFit="1" customWidth="1"/>
    <col min="9" max="9" width="13.54296875" style="117" customWidth="1"/>
    <col min="10" max="10" width="17.1796875" style="118" customWidth="1"/>
    <col min="11" max="11" width="31.453125" style="115" customWidth="1"/>
    <col min="12" max="12" width="19.26953125" style="34" bestFit="1" customWidth="1"/>
    <col min="13" max="13" width="18.81640625" style="34" bestFit="1" customWidth="1"/>
    <col min="14" max="14" width="14.81640625" style="119" bestFit="1" customWidth="1"/>
    <col min="15" max="15" width="19.26953125" style="15" customWidth="1"/>
    <col min="16" max="16" width="18.81640625" style="115" customWidth="1"/>
    <col min="17" max="17" width="9.54296875" style="15" bestFit="1" customWidth="1"/>
    <col min="18" max="18" width="10.1796875" style="15" bestFit="1" customWidth="1"/>
    <col min="19" max="16384" width="9.1796875" style="15"/>
  </cols>
  <sheetData>
    <row r="1" spans="1:18" s="5" customFormat="1" ht="9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1" t="s">
        <v>14</v>
      </c>
      <c r="P1" s="1" t="s">
        <v>15</v>
      </c>
      <c r="Q1" s="1"/>
      <c r="R1" s="1"/>
    </row>
    <row r="2" spans="1:18" ht="53.25" customHeight="1" x14ac:dyDescent="0.35">
      <c r="A2" s="6">
        <v>1</v>
      </c>
      <c r="B2" s="7" t="s">
        <v>16</v>
      </c>
      <c r="C2" s="8" t="s">
        <v>17</v>
      </c>
      <c r="D2" s="6"/>
      <c r="E2" s="8" t="s">
        <v>18</v>
      </c>
      <c r="F2" s="8" t="s">
        <v>19</v>
      </c>
      <c r="G2" s="9">
        <v>50677.966101694918</v>
      </c>
      <c r="H2" s="6">
        <v>18</v>
      </c>
      <c r="I2" s="9">
        <v>9122.0338983050842</v>
      </c>
      <c r="J2" s="10">
        <v>59800</v>
      </c>
      <c r="K2" s="6" t="s">
        <v>20</v>
      </c>
      <c r="L2" s="11">
        <v>45133</v>
      </c>
      <c r="M2" s="11">
        <v>45863</v>
      </c>
      <c r="N2" s="12" t="s">
        <v>21</v>
      </c>
      <c r="O2" s="13"/>
      <c r="P2" s="14"/>
      <c r="Q2" s="13"/>
      <c r="R2" s="13"/>
    </row>
    <row r="3" spans="1:18" ht="46.5" customHeight="1" x14ac:dyDescent="0.35">
      <c r="A3" s="6"/>
      <c r="B3" s="7"/>
      <c r="C3" s="8" t="s">
        <v>22</v>
      </c>
      <c r="D3" s="6"/>
      <c r="E3" s="8" t="s">
        <v>23</v>
      </c>
      <c r="F3" s="8" t="s">
        <v>24</v>
      </c>
      <c r="G3" s="9">
        <v>50677.966101694918</v>
      </c>
      <c r="H3" s="6">
        <v>18</v>
      </c>
      <c r="I3" s="9">
        <v>9122.0338983050842</v>
      </c>
      <c r="J3" s="10">
        <v>59800</v>
      </c>
      <c r="K3" s="6" t="s">
        <v>20</v>
      </c>
      <c r="L3" s="11">
        <v>45133</v>
      </c>
      <c r="M3" s="11">
        <v>45863</v>
      </c>
      <c r="N3" s="12"/>
      <c r="O3" s="13"/>
      <c r="P3" s="14"/>
      <c r="Q3" s="13"/>
      <c r="R3" s="13"/>
    </row>
    <row r="4" spans="1:18" ht="36" customHeight="1" x14ac:dyDescent="0.35">
      <c r="A4" s="6">
        <v>2</v>
      </c>
      <c r="B4" s="7" t="s">
        <v>25</v>
      </c>
      <c r="C4" s="8" t="s">
        <v>26</v>
      </c>
      <c r="D4" s="6"/>
      <c r="E4" s="8" t="s">
        <v>27</v>
      </c>
      <c r="F4" s="8" t="s">
        <v>28</v>
      </c>
      <c r="G4" s="9">
        <v>83050.847457627126</v>
      </c>
      <c r="H4" s="6">
        <v>18</v>
      </c>
      <c r="I4" s="9">
        <v>14949.152542372882</v>
      </c>
      <c r="J4" s="10">
        <v>98000</v>
      </c>
      <c r="K4" s="6" t="s">
        <v>20</v>
      </c>
      <c r="L4" s="11">
        <v>45133</v>
      </c>
      <c r="M4" s="11">
        <v>45863</v>
      </c>
      <c r="N4" s="12"/>
      <c r="O4" s="13"/>
      <c r="P4" s="14"/>
      <c r="Q4" s="13"/>
      <c r="R4" s="13"/>
    </row>
    <row r="5" spans="1:18" ht="77.25" customHeight="1" x14ac:dyDescent="0.35">
      <c r="A5" s="6"/>
      <c r="B5" s="7"/>
      <c r="C5" s="8" t="s">
        <v>29</v>
      </c>
      <c r="D5" s="6"/>
      <c r="E5" s="8" t="s">
        <v>30</v>
      </c>
      <c r="F5" s="8" t="s">
        <v>31</v>
      </c>
      <c r="G5" s="9">
        <v>83050.847457627126</v>
      </c>
      <c r="H5" s="6">
        <v>18</v>
      </c>
      <c r="I5" s="9">
        <v>14949.152542372882</v>
      </c>
      <c r="J5" s="10">
        <v>98000</v>
      </c>
      <c r="K5" s="6" t="s">
        <v>20</v>
      </c>
      <c r="L5" s="11">
        <v>45133</v>
      </c>
      <c r="M5" s="11">
        <v>45863</v>
      </c>
      <c r="N5" s="12"/>
      <c r="O5" s="13"/>
      <c r="P5" s="14"/>
      <c r="Q5" s="13"/>
      <c r="R5" s="13"/>
    </row>
    <row r="6" spans="1:18" ht="60.75" customHeight="1" x14ac:dyDescent="0.35">
      <c r="A6" s="6">
        <v>3</v>
      </c>
      <c r="B6" s="8" t="s">
        <v>32</v>
      </c>
      <c r="C6" s="8" t="s">
        <v>33</v>
      </c>
      <c r="D6" s="6"/>
      <c r="E6" s="8" t="s">
        <v>34</v>
      </c>
      <c r="F6" s="8" t="s">
        <v>35</v>
      </c>
      <c r="G6" s="9">
        <v>1155844.1517857143</v>
      </c>
      <c r="H6" s="6">
        <v>12</v>
      </c>
      <c r="I6" s="9">
        <v>138701.29821428572</v>
      </c>
      <c r="J6" s="10">
        <v>1294545.45</v>
      </c>
      <c r="K6" s="16">
        <v>404545.453125</v>
      </c>
      <c r="L6" s="11">
        <v>45133</v>
      </c>
      <c r="M6" s="11">
        <v>45863</v>
      </c>
      <c r="N6" s="12"/>
      <c r="O6" s="17"/>
      <c r="P6" s="14"/>
      <c r="Q6" s="13"/>
      <c r="R6" s="13"/>
    </row>
    <row r="7" spans="1:18" s="20" customFormat="1" ht="36" customHeight="1" x14ac:dyDescent="0.35">
      <c r="A7" s="6">
        <v>4</v>
      </c>
      <c r="B7" s="8" t="s">
        <v>36</v>
      </c>
      <c r="C7" s="18" t="s">
        <v>37</v>
      </c>
      <c r="D7" s="6"/>
      <c r="E7" s="18" t="s">
        <v>38</v>
      </c>
      <c r="F7" s="18" t="s">
        <v>38</v>
      </c>
      <c r="G7" s="9">
        <v>5268</v>
      </c>
      <c r="H7" s="19">
        <v>12</v>
      </c>
      <c r="I7" s="9">
        <v>632</v>
      </c>
      <c r="J7" s="10">
        <v>5900</v>
      </c>
      <c r="K7" s="6" t="s">
        <v>20</v>
      </c>
      <c r="L7" s="11">
        <v>45271</v>
      </c>
      <c r="M7" s="11">
        <v>46001</v>
      </c>
      <c r="N7" s="12" t="s">
        <v>39</v>
      </c>
      <c r="O7" s="18"/>
      <c r="P7" s="6"/>
      <c r="Q7" s="18"/>
      <c r="R7" s="18"/>
    </row>
    <row r="8" spans="1:18" s="20" customFormat="1" ht="57" customHeight="1" x14ac:dyDescent="0.35">
      <c r="A8" s="6">
        <v>5</v>
      </c>
      <c r="B8" s="8" t="s">
        <v>40</v>
      </c>
      <c r="C8" s="18" t="s">
        <v>37</v>
      </c>
      <c r="D8" s="6"/>
      <c r="E8" s="18" t="s">
        <v>38</v>
      </c>
      <c r="F8" s="18" t="s">
        <v>38</v>
      </c>
      <c r="G8" s="9">
        <v>17580</v>
      </c>
      <c r="H8" s="6">
        <v>12</v>
      </c>
      <c r="I8" s="9">
        <v>2110</v>
      </c>
      <c r="J8" s="10">
        <v>19690</v>
      </c>
      <c r="K8" s="6" t="s">
        <v>20</v>
      </c>
      <c r="L8" s="11">
        <v>45271</v>
      </c>
      <c r="M8" s="11">
        <v>46001</v>
      </c>
      <c r="N8" s="12"/>
      <c r="O8" s="18"/>
      <c r="P8" s="6"/>
      <c r="Q8" s="18"/>
      <c r="R8" s="18"/>
    </row>
    <row r="9" spans="1:18" s="20" customFormat="1" ht="43.5" customHeight="1" x14ac:dyDescent="0.35">
      <c r="A9" s="6">
        <v>6</v>
      </c>
      <c r="B9" s="8" t="s">
        <v>41</v>
      </c>
      <c r="C9" s="18" t="s">
        <v>37</v>
      </c>
      <c r="D9" s="6"/>
      <c r="E9" s="18" t="s">
        <v>38</v>
      </c>
      <c r="F9" s="18" t="s">
        <v>38</v>
      </c>
      <c r="G9" s="9">
        <v>5080</v>
      </c>
      <c r="H9" s="6">
        <v>12</v>
      </c>
      <c r="I9" s="9">
        <v>610</v>
      </c>
      <c r="J9" s="10">
        <v>5690</v>
      </c>
      <c r="K9" s="6" t="s">
        <v>20</v>
      </c>
      <c r="L9" s="11">
        <v>45271</v>
      </c>
      <c r="M9" s="11">
        <v>46001</v>
      </c>
      <c r="N9" s="12"/>
      <c r="O9" s="18"/>
      <c r="P9" s="6"/>
      <c r="Q9" s="18"/>
      <c r="R9" s="18"/>
    </row>
    <row r="10" spans="1:18" s="20" customFormat="1" ht="23.25" customHeight="1" x14ac:dyDescent="0.35">
      <c r="A10" s="6">
        <v>7</v>
      </c>
      <c r="B10" s="8" t="s">
        <v>42</v>
      </c>
      <c r="C10" s="18" t="s">
        <v>37</v>
      </c>
      <c r="D10" s="6"/>
      <c r="E10" s="18" t="s">
        <v>43</v>
      </c>
      <c r="F10" s="18" t="s">
        <v>38</v>
      </c>
      <c r="G10" s="9">
        <v>30356</v>
      </c>
      <c r="H10" s="6">
        <v>12</v>
      </c>
      <c r="I10" s="9">
        <v>3643</v>
      </c>
      <c r="J10" s="10">
        <v>33999</v>
      </c>
      <c r="K10" s="6" t="s">
        <v>20</v>
      </c>
      <c r="L10" s="11">
        <v>45271</v>
      </c>
      <c r="M10" s="11" t="s">
        <v>44</v>
      </c>
      <c r="N10" s="12"/>
      <c r="O10" s="18"/>
      <c r="P10" s="6"/>
      <c r="Q10" s="18"/>
      <c r="R10" s="18"/>
    </row>
    <row r="11" spans="1:18" s="20" customFormat="1" ht="39" customHeight="1" x14ac:dyDescent="0.35">
      <c r="A11" s="6">
        <v>8</v>
      </c>
      <c r="B11" s="8" t="s">
        <v>45</v>
      </c>
      <c r="C11" s="18" t="s">
        <v>46</v>
      </c>
      <c r="D11" s="6"/>
      <c r="E11" s="8" t="s">
        <v>47</v>
      </c>
      <c r="F11" s="18" t="s">
        <v>48</v>
      </c>
      <c r="G11" s="9">
        <v>589285.71428571432</v>
      </c>
      <c r="H11" s="6">
        <v>12</v>
      </c>
      <c r="I11" s="9">
        <v>70714.28571428571</v>
      </c>
      <c r="J11" s="10">
        <v>660000</v>
      </c>
      <c r="K11" s="21">
        <v>117857.14285714287</v>
      </c>
      <c r="L11" s="11">
        <v>45271</v>
      </c>
      <c r="M11" s="11" t="s">
        <v>44</v>
      </c>
      <c r="N11" s="12" t="s">
        <v>39</v>
      </c>
      <c r="O11" s="18"/>
      <c r="P11" s="6"/>
      <c r="Q11" s="18"/>
      <c r="R11" s="18"/>
    </row>
    <row r="12" spans="1:18" s="20" customFormat="1" ht="36" customHeight="1" x14ac:dyDescent="0.35">
      <c r="A12" s="6">
        <v>9</v>
      </c>
      <c r="B12" s="8" t="s">
        <v>49</v>
      </c>
      <c r="C12" s="18" t="s">
        <v>50</v>
      </c>
      <c r="D12" s="6"/>
      <c r="E12" s="8" t="s">
        <v>51</v>
      </c>
      <c r="F12" s="18" t="s">
        <v>52</v>
      </c>
      <c r="G12" s="22">
        <v>22321.428571428572</v>
      </c>
      <c r="H12" s="19">
        <v>12</v>
      </c>
      <c r="I12" s="22">
        <v>2678.5714285714284</v>
      </c>
      <c r="J12" s="10">
        <v>25000</v>
      </c>
      <c r="K12" s="21">
        <v>4464.2857142857147</v>
      </c>
      <c r="L12" s="11">
        <v>45271</v>
      </c>
      <c r="M12" s="11" t="s">
        <v>44</v>
      </c>
      <c r="N12" s="12"/>
      <c r="O12" s="18"/>
      <c r="P12" s="6"/>
      <c r="Q12" s="18"/>
      <c r="R12" s="18"/>
    </row>
    <row r="13" spans="1:18" s="20" customFormat="1" ht="50.25" customHeight="1" x14ac:dyDescent="0.35">
      <c r="A13" s="6">
        <v>10</v>
      </c>
      <c r="B13" s="8" t="s">
        <v>53</v>
      </c>
      <c r="C13" s="18" t="s">
        <v>54</v>
      </c>
      <c r="D13" s="6"/>
      <c r="E13" s="8" t="s">
        <v>55</v>
      </c>
      <c r="F13" s="18" t="s">
        <v>56</v>
      </c>
      <c r="G13" s="22">
        <v>73526.78571428571</v>
      </c>
      <c r="H13" s="19">
        <v>12</v>
      </c>
      <c r="I13" s="22">
        <v>8823.2142857142844</v>
      </c>
      <c r="J13" s="10">
        <v>82350</v>
      </c>
      <c r="K13" s="21">
        <v>14705.357142857143</v>
      </c>
      <c r="L13" s="11">
        <v>45271</v>
      </c>
      <c r="M13" s="11" t="s">
        <v>57</v>
      </c>
      <c r="N13" s="12"/>
      <c r="O13" s="18"/>
      <c r="P13" s="6"/>
      <c r="Q13" s="18"/>
      <c r="R13" s="18"/>
    </row>
    <row r="14" spans="1:18" s="20" customFormat="1" ht="37.5" customHeight="1" x14ac:dyDescent="0.35">
      <c r="A14" s="6">
        <v>11</v>
      </c>
      <c r="B14" s="8" t="s">
        <v>58</v>
      </c>
      <c r="C14" s="18" t="s">
        <v>59</v>
      </c>
      <c r="D14" s="6" t="s">
        <v>60</v>
      </c>
      <c r="E14" s="8" t="s">
        <v>61</v>
      </c>
      <c r="F14" s="18" t="s">
        <v>62</v>
      </c>
      <c r="G14" s="22">
        <v>216000</v>
      </c>
      <c r="H14" s="19">
        <v>5</v>
      </c>
      <c r="I14" s="22">
        <f>G14*5%</f>
        <v>10800</v>
      </c>
      <c r="J14" s="10">
        <f>G14+I14</f>
        <v>226800</v>
      </c>
      <c r="K14" s="21">
        <v>26000</v>
      </c>
      <c r="L14" s="11">
        <v>45271</v>
      </c>
      <c r="M14" s="11" t="s">
        <v>44</v>
      </c>
      <c r="N14" s="12"/>
      <c r="O14" s="18"/>
      <c r="P14" s="6"/>
      <c r="Q14" s="18"/>
      <c r="R14" s="18"/>
    </row>
    <row r="15" spans="1:18" s="20" customFormat="1" ht="60.75" customHeight="1" x14ac:dyDescent="0.35">
      <c r="A15" s="6">
        <v>12</v>
      </c>
      <c r="B15" s="8" t="s">
        <v>63</v>
      </c>
      <c r="C15" s="18" t="s">
        <v>64</v>
      </c>
      <c r="D15" s="6"/>
      <c r="E15" s="8" t="s">
        <v>65</v>
      </c>
      <c r="F15" s="18" t="s">
        <v>66</v>
      </c>
      <c r="G15" s="22">
        <v>2245763</v>
      </c>
      <c r="H15" s="19">
        <v>18</v>
      </c>
      <c r="I15" s="22">
        <v>404237</v>
      </c>
      <c r="J15" s="10">
        <v>2650000</v>
      </c>
      <c r="K15" s="21">
        <v>112288</v>
      </c>
      <c r="L15" s="11">
        <v>45271</v>
      </c>
      <c r="M15" s="11" t="s">
        <v>44</v>
      </c>
      <c r="N15" s="12"/>
      <c r="O15" s="18"/>
      <c r="P15" s="6"/>
      <c r="Q15" s="18"/>
      <c r="R15" s="18"/>
    </row>
    <row r="16" spans="1:18" s="20" customFormat="1" ht="27" customHeight="1" x14ac:dyDescent="0.35">
      <c r="A16" s="6">
        <v>13</v>
      </c>
      <c r="B16" s="8" t="s">
        <v>67</v>
      </c>
      <c r="C16" s="8" t="s">
        <v>68</v>
      </c>
      <c r="D16" s="6"/>
      <c r="E16" s="8" t="s">
        <v>69</v>
      </c>
      <c r="F16" s="18" t="s">
        <v>70</v>
      </c>
      <c r="G16" s="22">
        <v>5971.4285714285716</v>
      </c>
      <c r="H16" s="19">
        <v>12</v>
      </c>
      <c r="I16" s="22">
        <v>716.57142857142856</v>
      </c>
      <c r="J16" s="10">
        <v>6688</v>
      </c>
      <c r="K16" s="21"/>
      <c r="L16" s="11">
        <v>45271</v>
      </c>
      <c r="M16" s="11" t="s">
        <v>44</v>
      </c>
      <c r="N16" s="12"/>
      <c r="O16" s="18"/>
      <c r="P16" s="6"/>
      <c r="Q16" s="18"/>
      <c r="R16" s="18"/>
    </row>
    <row r="17" spans="1:18" s="20" customFormat="1" ht="27.75" customHeight="1" x14ac:dyDescent="0.35">
      <c r="A17" s="6">
        <v>14</v>
      </c>
      <c r="B17" s="8" t="s">
        <v>71</v>
      </c>
      <c r="C17" s="18" t="s">
        <v>72</v>
      </c>
      <c r="D17" s="6"/>
      <c r="E17" s="8" t="s">
        <v>73</v>
      </c>
      <c r="F17" s="18" t="s">
        <v>74</v>
      </c>
      <c r="G17" s="22">
        <v>385714</v>
      </c>
      <c r="H17" s="19">
        <v>12</v>
      </c>
      <c r="I17" s="22">
        <v>46286</v>
      </c>
      <c r="J17" s="10">
        <v>432000</v>
      </c>
      <c r="K17" s="21">
        <v>77143</v>
      </c>
      <c r="L17" s="11">
        <v>45271</v>
      </c>
      <c r="M17" s="11" t="s">
        <v>44</v>
      </c>
      <c r="N17" s="12"/>
      <c r="O17" s="18"/>
      <c r="P17" s="6"/>
      <c r="Q17" s="18"/>
      <c r="R17" s="18"/>
    </row>
    <row r="18" spans="1:18" ht="56.25" customHeight="1" x14ac:dyDescent="0.35">
      <c r="A18" s="6">
        <v>15</v>
      </c>
      <c r="B18" s="8" t="s">
        <v>75</v>
      </c>
      <c r="C18" s="18" t="s">
        <v>76</v>
      </c>
      <c r="D18" s="6"/>
      <c r="E18" s="8" t="s">
        <v>77</v>
      </c>
      <c r="F18" s="18" t="s">
        <v>78</v>
      </c>
      <c r="G18" s="22">
        <v>1258123</v>
      </c>
      <c r="H18" s="19">
        <v>12</v>
      </c>
      <c r="I18" s="22">
        <v>150975</v>
      </c>
      <c r="J18" s="10">
        <v>1409098</v>
      </c>
      <c r="K18" s="21">
        <v>251625</v>
      </c>
      <c r="L18" s="11">
        <v>45271</v>
      </c>
      <c r="M18" s="11" t="s">
        <v>44</v>
      </c>
      <c r="N18" s="12"/>
      <c r="O18" s="13"/>
      <c r="P18" s="14"/>
      <c r="Q18" s="13"/>
      <c r="R18" s="13"/>
    </row>
    <row r="19" spans="1:18" s="20" customFormat="1" ht="19.5" customHeight="1" x14ac:dyDescent="0.35">
      <c r="A19" s="6">
        <v>16</v>
      </c>
      <c r="B19" s="8" t="s">
        <v>79</v>
      </c>
      <c r="C19" s="18" t="s">
        <v>80</v>
      </c>
      <c r="D19" s="6" t="s">
        <v>60</v>
      </c>
      <c r="E19" s="8" t="s">
        <v>81</v>
      </c>
      <c r="F19" s="18" t="s">
        <v>82</v>
      </c>
      <c r="G19" s="22">
        <v>7580</v>
      </c>
      <c r="H19" s="23">
        <v>18</v>
      </c>
      <c r="I19" s="22">
        <v>1364.3999999999999</v>
      </c>
      <c r="J19" s="24">
        <v>8944.4</v>
      </c>
      <c r="K19" s="6" t="s">
        <v>20</v>
      </c>
      <c r="L19" s="11">
        <v>45364</v>
      </c>
      <c r="M19" s="11" t="s">
        <v>83</v>
      </c>
      <c r="N19" s="12" t="s">
        <v>84</v>
      </c>
      <c r="O19" s="18"/>
      <c r="P19" s="6"/>
      <c r="Q19" s="18"/>
      <c r="R19" s="18"/>
    </row>
    <row r="20" spans="1:18" s="20" customFormat="1" ht="50.25" customHeight="1" x14ac:dyDescent="0.35">
      <c r="A20" s="6">
        <v>17</v>
      </c>
      <c r="B20" s="8" t="s">
        <v>85</v>
      </c>
      <c r="C20" s="18" t="s">
        <v>86</v>
      </c>
      <c r="D20" s="6"/>
      <c r="E20" s="18" t="s">
        <v>81</v>
      </c>
      <c r="F20" s="18" t="s">
        <v>87</v>
      </c>
      <c r="G20" s="22">
        <v>24960.169491525423</v>
      </c>
      <c r="H20" s="23">
        <v>18</v>
      </c>
      <c r="I20" s="22">
        <v>4492.8305084745762</v>
      </c>
      <c r="J20" s="10">
        <v>29453</v>
      </c>
      <c r="K20" s="6" t="s">
        <v>20</v>
      </c>
      <c r="L20" s="11">
        <v>45364</v>
      </c>
      <c r="M20" s="11" t="s">
        <v>83</v>
      </c>
      <c r="N20" s="12"/>
      <c r="O20" s="18"/>
      <c r="P20" s="6"/>
      <c r="Q20" s="18"/>
      <c r="R20" s="18"/>
    </row>
    <row r="21" spans="1:18" s="20" customFormat="1" ht="19.5" customHeight="1" x14ac:dyDescent="0.35">
      <c r="A21" s="6">
        <v>18</v>
      </c>
      <c r="B21" s="8" t="s">
        <v>88</v>
      </c>
      <c r="C21" s="18" t="s">
        <v>89</v>
      </c>
      <c r="D21" s="6" t="s">
        <v>60</v>
      </c>
      <c r="E21" s="8" t="s">
        <v>90</v>
      </c>
      <c r="F21" s="18" t="s">
        <v>91</v>
      </c>
      <c r="G21" s="22">
        <v>3000</v>
      </c>
      <c r="H21" s="23">
        <v>18</v>
      </c>
      <c r="I21" s="22">
        <v>540</v>
      </c>
      <c r="J21" s="10">
        <v>3540</v>
      </c>
      <c r="K21" s="6" t="s">
        <v>20</v>
      </c>
      <c r="L21" s="11">
        <v>45364</v>
      </c>
      <c r="M21" s="11" t="s">
        <v>83</v>
      </c>
      <c r="N21" s="12"/>
      <c r="O21" s="18"/>
      <c r="P21" s="6"/>
      <c r="Q21" s="18"/>
      <c r="R21" s="18"/>
    </row>
    <row r="22" spans="1:18" s="20" customFormat="1" ht="41.25" customHeight="1" x14ac:dyDescent="0.35">
      <c r="A22" s="6">
        <v>19</v>
      </c>
      <c r="B22" s="8" t="s">
        <v>92</v>
      </c>
      <c r="C22" s="8" t="s">
        <v>93</v>
      </c>
      <c r="D22" s="6" t="s">
        <v>60</v>
      </c>
      <c r="E22" s="25" t="s">
        <v>94</v>
      </c>
      <c r="F22" s="25" t="s">
        <v>95</v>
      </c>
      <c r="G22" s="9">
        <v>55356</v>
      </c>
      <c r="H22" s="6">
        <v>12</v>
      </c>
      <c r="I22" s="9">
        <v>6643</v>
      </c>
      <c r="J22" s="10">
        <v>61999</v>
      </c>
      <c r="K22" s="6">
        <v>4150</v>
      </c>
      <c r="L22" s="11">
        <v>45364</v>
      </c>
      <c r="M22" s="11" t="s">
        <v>83</v>
      </c>
      <c r="N22" s="12"/>
      <c r="O22" s="18"/>
      <c r="P22" s="6"/>
      <c r="Q22" s="18"/>
      <c r="R22" s="18"/>
    </row>
    <row r="23" spans="1:18" s="20" customFormat="1" ht="26.25" customHeight="1" x14ac:dyDescent="0.35">
      <c r="A23" s="6">
        <v>20</v>
      </c>
      <c r="B23" s="8" t="s">
        <v>96</v>
      </c>
      <c r="C23" s="18" t="s">
        <v>97</v>
      </c>
      <c r="D23" s="6"/>
      <c r="E23" s="18"/>
      <c r="F23" s="18"/>
      <c r="G23" s="9">
        <v>88393</v>
      </c>
      <c r="H23" s="6">
        <v>12</v>
      </c>
      <c r="I23" s="9">
        <v>10607</v>
      </c>
      <c r="J23" s="10">
        <v>99000</v>
      </c>
      <c r="K23" s="6">
        <v>7781</v>
      </c>
      <c r="L23" s="11">
        <v>45364</v>
      </c>
      <c r="M23" s="11" t="s">
        <v>83</v>
      </c>
      <c r="N23" s="12"/>
      <c r="O23" s="18"/>
      <c r="P23" s="6"/>
      <c r="Q23" s="18"/>
      <c r="R23" s="18"/>
    </row>
    <row r="24" spans="1:18" s="20" customFormat="1" ht="46.5" x14ac:dyDescent="0.35">
      <c r="A24" s="6">
        <v>21</v>
      </c>
      <c r="B24" s="8" t="s">
        <v>98</v>
      </c>
      <c r="C24" s="18" t="s">
        <v>99</v>
      </c>
      <c r="D24" s="6"/>
      <c r="E24" s="18" t="s">
        <v>100</v>
      </c>
      <c r="F24" s="18" t="s">
        <v>101</v>
      </c>
      <c r="G24" s="9">
        <v>22568370</v>
      </c>
      <c r="H24" s="26">
        <v>0.05</v>
      </c>
      <c r="I24" s="9">
        <v>1128418.5</v>
      </c>
      <c r="J24" s="10">
        <f>G24+H24</f>
        <v>22568370.050000001</v>
      </c>
      <c r="K24" s="27">
        <v>12951987</v>
      </c>
      <c r="L24" s="11">
        <v>45554</v>
      </c>
      <c r="M24" s="11" t="s">
        <v>102</v>
      </c>
      <c r="N24" s="28" t="s">
        <v>103</v>
      </c>
      <c r="O24" s="18"/>
      <c r="P24" s="6"/>
      <c r="Q24" s="18"/>
      <c r="R24" s="18"/>
    </row>
    <row r="25" spans="1:18" s="20" customFormat="1" ht="46.5" x14ac:dyDescent="0.35">
      <c r="A25" s="6">
        <v>22</v>
      </c>
      <c r="B25" s="8" t="s">
        <v>104</v>
      </c>
      <c r="C25" s="18" t="s">
        <v>105</v>
      </c>
      <c r="D25" s="6"/>
      <c r="E25" s="18" t="s">
        <v>106</v>
      </c>
      <c r="F25" s="18" t="s">
        <v>107</v>
      </c>
      <c r="G25" s="9">
        <v>4602720</v>
      </c>
      <c r="H25" s="6"/>
      <c r="I25" s="9">
        <v>927280</v>
      </c>
      <c r="J25" s="10">
        <v>5530000</v>
      </c>
      <c r="K25" s="27"/>
      <c r="L25" s="11">
        <v>45554</v>
      </c>
      <c r="M25" s="11" t="s">
        <v>102</v>
      </c>
      <c r="N25" s="28"/>
      <c r="O25" s="18"/>
      <c r="P25" s="6"/>
      <c r="Q25" s="18"/>
      <c r="R25" s="18"/>
    </row>
    <row r="26" spans="1:18" ht="31" x14ac:dyDescent="0.35">
      <c r="A26" s="14">
        <v>23</v>
      </c>
      <c r="B26" s="29" t="s">
        <v>108</v>
      </c>
      <c r="C26" s="13" t="s">
        <v>37</v>
      </c>
      <c r="D26" s="14"/>
      <c r="E26" s="13" t="s">
        <v>109</v>
      </c>
      <c r="F26" s="13" t="s">
        <v>110</v>
      </c>
      <c r="G26" s="30">
        <v>17857</v>
      </c>
      <c r="H26" s="31">
        <v>0.12</v>
      </c>
      <c r="I26" s="30">
        <v>2143</v>
      </c>
      <c r="J26" s="32">
        <v>20000</v>
      </c>
      <c r="K26" s="14" t="s">
        <v>20</v>
      </c>
      <c r="L26" s="33">
        <v>45618</v>
      </c>
      <c r="N26" s="35"/>
      <c r="O26" s="13"/>
      <c r="P26" s="14"/>
      <c r="Q26" s="13"/>
      <c r="R26" s="13"/>
    </row>
    <row r="27" spans="1:18" ht="46.5" x14ac:dyDescent="0.35">
      <c r="A27" s="14">
        <v>24</v>
      </c>
      <c r="B27" s="29" t="s">
        <v>111</v>
      </c>
      <c r="C27" s="13" t="s">
        <v>112</v>
      </c>
      <c r="D27" s="14"/>
      <c r="E27" s="13" t="s">
        <v>113</v>
      </c>
      <c r="F27" s="13" t="s">
        <v>114</v>
      </c>
      <c r="G27" s="30">
        <v>444911</v>
      </c>
      <c r="H27" s="31">
        <v>0.05</v>
      </c>
      <c r="I27" s="30">
        <f>G27*5%</f>
        <v>22245.550000000003</v>
      </c>
      <c r="J27" s="32">
        <f>G27+I27</f>
        <v>467156.55</v>
      </c>
      <c r="K27" s="36">
        <v>100245</v>
      </c>
      <c r="L27" s="33">
        <v>45618</v>
      </c>
      <c r="M27" s="33" t="s">
        <v>115</v>
      </c>
      <c r="N27" s="35"/>
      <c r="O27" s="13"/>
      <c r="P27" s="14"/>
      <c r="Q27" s="13"/>
      <c r="R27" s="13"/>
    </row>
    <row r="28" spans="1:18" ht="46.5" x14ac:dyDescent="0.35">
      <c r="A28" s="14">
        <v>25</v>
      </c>
      <c r="B28" s="29" t="s">
        <v>116</v>
      </c>
      <c r="C28" s="13" t="s">
        <v>117</v>
      </c>
      <c r="D28" s="14"/>
      <c r="E28" s="13" t="s">
        <v>118</v>
      </c>
      <c r="F28" s="13" t="s">
        <v>119</v>
      </c>
      <c r="G28" s="30">
        <v>243220</v>
      </c>
      <c r="H28" s="31">
        <v>0.18</v>
      </c>
      <c r="I28" s="30">
        <v>43780</v>
      </c>
      <c r="J28" s="32">
        <v>287000</v>
      </c>
      <c r="K28" s="36">
        <v>48644</v>
      </c>
      <c r="L28" s="33">
        <v>45618</v>
      </c>
      <c r="M28" s="33" t="s">
        <v>115</v>
      </c>
      <c r="N28" s="35"/>
      <c r="O28" s="13"/>
      <c r="P28" s="14"/>
      <c r="Q28" s="13"/>
      <c r="R28" s="13"/>
    </row>
    <row r="29" spans="1:18" s="46" customFormat="1" ht="46.5" x14ac:dyDescent="0.35">
      <c r="A29" s="37">
        <v>26</v>
      </c>
      <c r="B29" s="38" t="s">
        <v>120</v>
      </c>
      <c r="C29" s="39" t="s">
        <v>121</v>
      </c>
      <c r="D29" s="37"/>
      <c r="E29" s="39" t="s">
        <v>122</v>
      </c>
      <c r="F29" s="39" t="s">
        <v>123</v>
      </c>
      <c r="G29" s="40">
        <v>52143</v>
      </c>
      <c r="H29" s="41">
        <v>0.12</v>
      </c>
      <c r="I29" s="40">
        <v>6257</v>
      </c>
      <c r="J29" s="42">
        <v>58400</v>
      </c>
      <c r="K29" s="43">
        <v>7650</v>
      </c>
      <c r="L29" s="44">
        <v>45618</v>
      </c>
      <c r="M29" s="44" t="s">
        <v>115</v>
      </c>
      <c r="N29" s="45"/>
      <c r="O29" s="39" t="s">
        <v>124</v>
      </c>
      <c r="P29" s="37"/>
      <c r="Q29" s="39"/>
      <c r="R29" s="39"/>
    </row>
    <row r="30" spans="1:18" ht="31" x14ac:dyDescent="0.35">
      <c r="A30" s="14">
        <v>27</v>
      </c>
      <c r="B30" s="29" t="s">
        <v>125</v>
      </c>
      <c r="C30" s="13" t="s">
        <v>126</v>
      </c>
      <c r="D30" s="14"/>
      <c r="E30" s="13" t="s">
        <v>127</v>
      </c>
      <c r="F30" s="13" t="s">
        <v>128</v>
      </c>
      <c r="G30" s="30">
        <v>21.33</v>
      </c>
      <c r="H30" s="31">
        <v>0.12</v>
      </c>
      <c r="I30" s="30">
        <v>2.5596000000000001</v>
      </c>
      <c r="J30" s="32">
        <v>23.89</v>
      </c>
      <c r="K30" s="14" t="s">
        <v>20</v>
      </c>
      <c r="L30" s="33">
        <v>45693</v>
      </c>
      <c r="M30" s="33" t="s">
        <v>129</v>
      </c>
      <c r="N30" s="35"/>
      <c r="O30" s="13"/>
      <c r="P30" s="14"/>
      <c r="Q30" s="13"/>
      <c r="R30" s="13"/>
    </row>
    <row r="31" spans="1:18" s="20" customFormat="1" ht="124" x14ac:dyDescent="0.35">
      <c r="A31" s="6">
        <v>28</v>
      </c>
      <c r="B31" s="8" t="s">
        <v>130</v>
      </c>
      <c r="C31" s="18" t="s">
        <v>131</v>
      </c>
      <c r="D31" s="6"/>
      <c r="E31" s="18" t="s">
        <v>132</v>
      </c>
      <c r="F31" s="18" t="s">
        <v>133</v>
      </c>
      <c r="G31" s="9">
        <v>236.13</v>
      </c>
      <c r="H31" s="26">
        <v>0.12</v>
      </c>
      <c r="I31" s="9">
        <v>28.34</v>
      </c>
      <c r="J31" s="10">
        <v>264.47000000000003</v>
      </c>
      <c r="K31" s="6" t="s">
        <v>20</v>
      </c>
      <c r="L31" s="11">
        <v>45693</v>
      </c>
      <c r="M31" s="11" t="s">
        <v>134</v>
      </c>
      <c r="N31" s="21"/>
      <c r="O31" s="18"/>
      <c r="P31" s="6"/>
      <c r="Q31" s="18"/>
      <c r="R31" s="18"/>
    </row>
    <row r="32" spans="1:18" s="20" customFormat="1" ht="31" x14ac:dyDescent="0.35">
      <c r="A32" s="6">
        <v>29</v>
      </c>
      <c r="B32" s="8" t="s">
        <v>135</v>
      </c>
      <c r="C32" s="18" t="s">
        <v>136</v>
      </c>
      <c r="D32" s="6"/>
      <c r="E32" s="18" t="s">
        <v>137</v>
      </c>
      <c r="F32" s="18" t="s">
        <v>138</v>
      </c>
      <c r="G32" s="9">
        <v>250000</v>
      </c>
      <c r="H32" s="26">
        <v>0.18</v>
      </c>
      <c r="I32" s="9">
        <v>45000</v>
      </c>
      <c r="J32" s="10">
        <v>295000</v>
      </c>
      <c r="K32" s="27">
        <v>50000</v>
      </c>
      <c r="L32" s="11">
        <v>45693</v>
      </c>
      <c r="M32" s="11" t="s">
        <v>139</v>
      </c>
      <c r="N32" s="21"/>
      <c r="O32" s="18"/>
      <c r="P32" s="6"/>
      <c r="Q32" s="18"/>
      <c r="R32" s="18"/>
    </row>
    <row r="33" spans="1:19" s="20" customFormat="1" ht="62" x14ac:dyDescent="0.35">
      <c r="A33" s="6">
        <v>30</v>
      </c>
      <c r="B33" s="8" t="s">
        <v>140</v>
      </c>
      <c r="C33" s="18" t="s">
        <v>141</v>
      </c>
      <c r="D33" s="6" t="s">
        <v>60</v>
      </c>
      <c r="E33" s="18" t="s">
        <v>142</v>
      </c>
      <c r="F33" s="18" t="s">
        <v>143</v>
      </c>
      <c r="G33" s="9">
        <v>307410</v>
      </c>
      <c r="H33" s="26">
        <v>0.12</v>
      </c>
      <c r="I33" s="9">
        <v>36889</v>
      </c>
      <c r="J33" s="10">
        <v>344299</v>
      </c>
      <c r="K33" s="27">
        <v>45098</v>
      </c>
      <c r="L33" s="11">
        <v>45693</v>
      </c>
      <c r="M33" s="11" t="s">
        <v>139</v>
      </c>
      <c r="N33" s="21"/>
      <c r="O33" s="18"/>
      <c r="P33" s="6"/>
      <c r="Q33" s="18"/>
      <c r="R33" s="18"/>
    </row>
    <row r="34" spans="1:19" s="8" customFormat="1" ht="31" x14ac:dyDescent="0.35">
      <c r="A34" s="6">
        <v>31</v>
      </c>
      <c r="B34" s="8" t="s">
        <v>144</v>
      </c>
      <c r="C34" s="8" t="s">
        <v>145</v>
      </c>
      <c r="D34" s="6" t="s">
        <v>60</v>
      </c>
      <c r="E34" s="8" t="s">
        <v>146</v>
      </c>
      <c r="F34" s="8" t="s">
        <v>147</v>
      </c>
      <c r="G34" s="6">
        <v>285714</v>
      </c>
      <c r="H34" s="26">
        <v>0.05</v>
      </c>
      <c r="I34" s="21">
        <f>G34*H34</f>
        <v>14285.7</v>
      </c>
      <c r="J34" s="10">
        <f>G34+I34</f>
        <v>299999.7</v>
      </c>
      <c r="K34" s="47" t="s">
        <v>148</v>
      </c>
      <c r="L34" s="11" t="s">
        <v>149</v>
      </c>
      <c r="M34" s="11" t="s">
        <v>139</v>
      </c>
      <c r="N34" s="21"/>
      <c r="S34" s="48"/>
    </row>
    <row r="35" spans="1:19" s="20" customFormat="1" ht="93" x14ac:dyDescent="0.35">
      <c r="A35" s="6">
        <v>32</v>
      </c>
      <c r="B35" s="8" t="s">
        <v>150</v>
      </c>
      <c r="C35" s="18" t="s">
        <v>151</v>
      </c>
      <c r="D35" s="6"/>
      <c r="E35" s="18" t="s">
        <v>77</v>
      </c>
      <c r="F35" s="18" t="s">
        <v>152</v>
      </c>
      <c r="G35" s="9">
        <v>2454008</v>
      </c>
      <c r="H35" s="26">
        <v>0.12</v>
      </c>
      <c r="I35" s="9">
        <f>G35*5%</f>
        <v>122700.40000000001</v>
      </c>
      <c r="J35" s="10">
        <v>2748489</v>
      </c>
      <c r="K35" s="27">
        <v>490802</v>
      </c>
      <c r="L35" s="11">
        <v>45693</v>
      </c>
      <c r="M35" s="11" t="s">
        <v>139</v>
      </c>
      <c r="N35" s="21"/>
      <c r="O35" s="18"/>
      <c r="P35" s="6"/>
      <c r="Q35" s="18"/>
      <c r="R35" s="18"/>
    </row>
    <row r="36" spans="1:19" s="20" customFormat="1" ht="170.5" x14ac:dyDescent="0.35">
      <c r="A36" s="6">
        <v>33</v>
      </c>
      <c r="B36" s="8" t="s">
        <v>153</v>
      </c>
      <c r="C36" s="18" t="s">
        <v>151</v>
      </c>
      <c r="D36" s="6"/>
      <c r="E36" s="18" t="s">
        <v>77</v>
      </c>
      <c r="F36" s="18" t="s">
        <v>154</v>
      </c>
      <c r="G36" s="9">
        <v>8763750</v>
      </c>
      <c r="H36" s="26">
        <v>0.12</v>
      </c>
      <c r="I36" s="9">
        <v>1051650</v>
      </c>
      <c r="J36" s="10">
        <v>9815400</v>
      </c>
      <c r="K36" s="27">
        <v>1752750</v>
      </c>
      <c r="L36" s="11">
        <v>45693</v>
      </c>
      <c r="M36" s="11" t="s">
        <v>139</v>
      </c>
      <c r="N36" s="21"/>
      <c r="O36" s="18"/>
      <c r="P36" s="6"/>
      <c r="Q36" s="18"/>
      <c r="R36" s="18"/>
    </row>
    <row r="37" spans="1:19" s="20" customFormat="1" ht="31" x14ac:dyDescent="0.35">
      <c r="A37" s="6">
        <v>34</v>
      </c>
      <c r="B37" s="8" t="s">
        <v>155</v>
      </c>
      <c r="C37" s="18" t="s">
        <v>156</v>
      </c>
      <c r="D37" s="6"/>
      <c r="E37" s="18" t="s">
        <v>157</v>
      </c>
      <c r="F37" s="18"/>
      <c r="G37" s="9">
        <v>1360000</v>
      </c>
      <c r="H37" s="26">
        <v>0.12</v>
      </c>
      <c r="I37" s="9">
        <v>163200</v>
      </c>
      <c r="J37" s="10">
        <v>1403920</v>
      </c>
      <c r="K37" s="27">
        <v>272000</v>
      </c>
      <c r="L37" s="11">
        <v>45693</v>
      </c>
      <c r="M37" s="11" t="s">
        <v>139</v>
      </c>
      <c r="N37" s="21"/>
      <c r="O37" s="18"/>
      <c r="P37" s="6"/>
      <c r="Q37" s="18"/>
      <c r="R37" s="18"/>
    </row>
    <row r="38" spans="1:19" s="20" customFormat="1" ht="31" x14ac:dyDescent="0.35">
      <c r="A38" s="6">
        <v>35</v>
      </c>
      <c r="B38" s="8" t="s">
        <v>158</v>
      </c>
      <c r="C38" s="18" t="s">
        <v>156</v>
      </c>
      <c r="D38" s="6"/>
      <c r="E38" s="18" t="s">
        <v>159</v>
      </c>
      <c r="F38" s="18" t="s">
        <v>160</v>
      </c>
      <c r="G38" s="9">
        <v>255000</v>
      </c>
      <c r="H38" s="26">
        <v>0.12</v>
      </c>
      <c r="I38" s="9">
        <v>30600</v>
      </c>
      <c r="J38" s="10">
        <v>285533</v>
      </c>
      <c r="K38" s="27">
        <v>51000</v>
      </c>
      <c r="L38" s="11">
        <v>45693</v>
      </c>
      <c r="M38" s="11" t="s">
        <v>139</v>
      </c>
      <c r="N38" s="21"/>
      <c r="O38" s="18"/>
      <c r="P38" s="6"/>
      <c r="Q38" s="18"/>
      <c r="R38" s="18"/>
    </row>
    <row r="39" spans="1:19" s="57" customFormat="1" ht="139.5" x14ac:dyDescent="0.35">
      <c r="A39" s="49">
        <v>36</v>
      </c>
      <c r="B39" s="50" t="s">
        <v>161</v>
      </c>
      <c r="C39" s="51" t="s">
        <v>162</v>
      </c>
      <c r="D39" s="49" t="s">
        <v>163</v>
      </c>
      <c r="E39" s="51" t="s">
        <v>164</v>
      </c>
      <c r="F39" s="51" t="s">
        <v>165</v>
      </c>
      <c r="G39" s="52">
        <v>226786</v>
      </c>
      <c r="H39" s="53">
        <v>0.05</v>
      </c>
      <c r="I39" s="54">
        <f>G39*5%</f>
        <v>11339.300000000001</v>
      </c>
      <c r="J39" s="42">
        <f>G39+I39</f>
        <v>238125.3</v>
      </c>
      <c r="K39" s="49" t="s">
        <v>166</v>
      </c>
      <c r="L39" s="55">
        <v>45693</v>
      </c>
      <c r="M39" s="33" t="s">
        <v>129</v>
      </c>
      <c r="N39" s="56"/>
      <c r="O39" s="51"/>
      <c r="P39" s="49"/>
      <c r="Q39" s="51"/>
      <c r="R39" s="51"/>
    </row>
    <row r="40" spans="1:19" s="57" customFormat="1" ht="139.5" x14ac:dyDescent="0.35">
      <c r="A40" s="49">
        <v>36</v>
      </c>
      <c r="B40" s="50" t="s">
        <v>161</v>
      </c>
      <c r="C40" s="51" t="s">
        <v>167</v>
      </c>
      <c r="D40" s="49" t="s">
        <v>168</v>
      </c>
      <c r="E40" s="51" t="s">
        <v>169</v>
      </c>
      <c r="F40" s="51" t="s">
        <v>170</v>
      </c>
      <c r="G40" s="52">
        <v>281596</v>
      </c>
      <c r="H40" s="53">
        <v>0.12</v>
      </c>
      <c r="I40" s="54">
        <f>G40*12%</f>
        <v>33791.519999999997</v>
      </c>
      <c r="J40" s="42">
        <v>254000</v>
      </c>
      <c r="K40" s="49" t="s">
        <v>166</v>
      </c>
      <c r="L40" s="55">
        <v>45693</v>
      </c>
      <c r="M40" s="33" t="s">
        <v>129</v>
      </c>
      <c r="N40" s="56"/>
      <c r="O40" s="51"/>
      <c r="P40" s="49"/>
      <c r="Q40" s="51"/>
      <c r="R40" s="51"/>
    </row>
    <row r="41" spans="1:19" s="57" customFormat="1" ht="139.5" x14ac:dyDescent="0.35">
      <c r="A41" s="49">
        <v>37</v>
      </c>
      <c r="B41" s="50" t="s">
        <v>171</v>
      </c>
      <c r="C41" s="51" t="s">
        <v>162</v>
      </c>
      <c r="D41" s="49" t="s">
        <v>163</v>
      </c>
      <c r="E41" s="51" t="s">
        <v>164</v>
      </c>
      <c r="F41" s="51" t="s">
        <v>172</v>
      </c>
      <c r="G41" s="52">
        <v>549107</v>
      </c>
      <c r="H41" s="53">
        <v>0.05</v>
      </c>
      <c r="I41" s="54">
        <f>G41*5%</f>
        <v>27455.350000000002</v>
      </c>
      <c r="J41" s="42">
        <f>G41+I41</f>
        <v>576562.35</v>
      </c>
      <c r="K41" s="49" t="s">
        <v>173</v>
      </c>
      <c r="L41" s="55">
        <v>45693</v>
      </c>
      <c r="M41" s="33" t="s">
        <v>129</v>
      </c>
      <c r="N41" s="56"/>
      <c r="O41" s="51"/>
      <c r="P41" s="49"/>
      <c r="Q41" s="51"/>
      <c r="R41" s="51"/>
    </row>
    <row r="42" spans="1:19" s="57" customFormat="1" ht="139.5" x14ac:dyDescent="0.35">
      <c r="A42" s="49">
        <v>37</v>
      </c>
      <c r="B42" s="50" t="s">
        <v>171</v>
      </c>
      <c r="C42" s="51" t="s">
        <v>167</v>
      </c>
      <c r="D42" s="49" t="s">
        <v>168</v>
      </c>
      <c r="E42" s="51" t="s">
        <v>169</v>
      </c>
      <c r="F42" s="51" t="s">
        <v>170</v>
      </c>
      <c r="G42" s="52">
        <v>549107</v>
      </c>
      <c r="H42" s="53">
        <v>0.05</v>
      </c>
      <c r="I42" s="54">
        <f>G42*5%</f>
        <v>27455.350000000002</v>
      </c>
      <c r="J42" s="42">
        <f>G42+I42</f>
        <v>576562.35</v>
      </c>
      <c r="K42" s="49" t="s">
        <v>173</v>
      </c>
      <c r="L42" s="55">
        <v>45693</v>
      </c>
      <c r="M42" s="33" t="s">
        <v>129</v>
      </c>
      <c r="N42" s="56"/>
      <c r="O42" s="51"/>
      <c r="P42" s="49"/>
      <c r="Q42" s="51"/>
      <c r="R42" s="51"/>
    </row>
    <row r="43" spans="1:19" s="20" customFormat="1" ht="31" x14ac:dyDescent="0.35">
      <c r="A43" s="6">
        <v>38</v>
      </c>
      <c r="B43" s="8" t="s">
        <v>174</v>
      </c>
      <c r="C43" s="18" t="s">
        <v>175</v>
      </c>
      <c r="D43" s="6"/>
      <c r="E43" s="18" t="s">
        <v>176</v>
      </c>
      <c r="F43" s="18" t="s">
        <v>177</v>
      </c>
      <c r="G43" s="9">
        <v>5585</v>
      </c>
      <c r="H43" s="26">
        <v>0.12</v>
      </c>
      <c r="I43" s="9">
        <v>670</v>
      </c>
      <c r="J43" s="10">
        <v>6255</v>
      </c>
      <c r="K43" s="6" t="s">
        <v>20</v>
      </c>
      <c r="L43" s="58" t="s">
        <v>178</v>
      </c>
      <c r="M43" s="58" t="s">
        <v>178</v>
      </c>
      <c r="N43" s="21"/>
      <c r="O43" s="18"/>
      <c r="P43" s="6"/>
      <c r="Q43" s="18"/>
      <c r="R43" s="18"/>
    </row>
    <row r="44" spans="1:19" ht="31" x14ac:dyDescent="0.35">
      <c r="A44" s="14">
        <v>39</v>
      </c>
      <c r="B44" s="29" t="s">
        <v>179</v>
      </c>
      <c r="C44" s="13" t="s">
        <v>180</v>
      </c>
      <c r="D44" s="14"/>
      <c r="E44" s="13" t="s">
        <v>181</v>
      </c>
      <c r="F44" s="13" t="s">
        <v>182</v>
      </c>
      <c r="G44" s="30">
        <v>3973</v>
      </c>
      <c r="H44" s="31">
        <v>0.12</v>
      </c>
      <c r="I44" s="30">
        <v>477</v>
      </c>
      <c r="J44" s="32">
        <v>4450</v>
      </c>
      <c r="K44" s="14" t="s">
        <v>20</v>
      </c>
      <c r="L44" s="33">
        <v>45693</v>
      </c>
      <c r="M44" s="33" t="s">
        <v>129</v>
      </c>
      <c r="N44" s="35"/>
      <c r="O44" s="13"/>
      <c r="P44" s="14"/>
      <c r="Q44" s="13"/>
      <c r="R44" s="13"/>
    </row>
    <row r="45" spans="1:19" ht="46.5" x14ac:dyDescent="0.35">
      <c r="A45" s="14">
        <v>40</v>
      </c>
      <c r="B45" s="29" t="s">
        <v>183</v>
      </c>
      <c r="C45" s="13" t="s">
        <v>184</v>
      </c>
      <c r="D45" s="14"/>
      <c r="E45" s="13" t="s">
        <v>185</v>
      </c>
      <c r="F45" s="13" t="s">
        <v>186</v>
      </c>
      <c r="G45" s="30">
        <v>1187680</v>
      </c>
      <c r="H45" s="31">
        <v>0.05</v>
      </c>
      <c r="I45" s="30">
        <f>G45*5%</f>
        <v>59384</v>
      </c>
      <c r="J45" s="32">
        <f>G45+I45</f>
        <v>1247064</v>
      </c>
      <c r="K45" s="36">
        <v>350365.6</v>
      </c>
      <c r="L45" s="33">
        <v>45720</v>
      </c>
      <c r="M45" s="33">
        <v>46449</v>
      </c>
      <c r="N45" s="35">
        <v>20</v>
      </c>
      <c r="O45" s="13"/>
      <c r="P45" s="14"/>
      <c r="Q45" s="13"/>
      <c r="R45" s="13"/>
    </row>
    <row r="46" spans="1:19" ht="31" x14ac:dyDescent="0.35">
      <c r="A46" s="14">
        <v>41</v>
      </c>
      <c r="B46" s="29" t="s">
        <v>187</v>
      </c>
      <c r="C46" s="13" t="s">
        <v>188</v>
      </c>
      <c r="D46" s="14"/>
      <c r="E46" s="13" t="s">
        <v>189</v>
      </c>
      <c r="F46" s="13"/>
      <c r="G46" s="30">
        <v>4414</v>
      </c>
      <c r="H46" s="31">
        <v>0.18</v>
      </c>
      <c r="I46" s="30">
        <v>794.43</v>
      </c>
      <c r="J46" s="32">
        <v>5207.93</v>
      </c>
      <c r="K46" s="14" t="s">
        <v>20</v>
      </c>
      <c r="L46" s="33">
        <v>45755</v>
      </c>
      <c r="M46" s="33">
        <v>46484</v>
      </c>
      <c r="N46" s="35"/>
      <c r="O46" s="13"/>
      <c r="P46" s="14"/>
      <c r="Q46" s="13"/>
      <c r="R46" s="13"/>
    </row>
    <row r="47" spans="1:19" ht="92.5" x14ac:dyDescent="0.35">
      <c r="A47" s="14">
        <v>42</v>
      </c>
      <c r="B47" s="29" t="s">
        <v>190</v>
      </c>
      <c r="C47" s="13" t="s">
        <v>191</v>
      </c>
      <c r="D47" s="14"/>
      <c r="E47" s="13" t="s">
        <v>192</v>
      </c>
      <c r="F47" s="13" t="s">
        <v>193</v>
      </c>
      <c r="G47" s="30">
        <v>22881</v>
      </c>
      <c r="H47" s="31">
        <v>0.18</v>
      </c>
      <c r="I47" s="30" t="s">
        <v>194</v>
      </c>
      <c r="J47" s="32">
        <v>26999</v>
      </c>
      <c r="K47" s="14" t="s">
        <v>20</v>
      </c>
      <c r="L47" s="33">
        <v>45755</v>
      </c>
      <c r="M47" s="33">
        <v>46484</v>
      </c>
      <c r="N47" s="35"/>
      <c r="O47" s="13"/>
      <c r="P47" s="14"/>
      <c r="Q47" s="13"/>
      <c r="R47" s="13"/>
    </row>
    <row r="48" spans="1:19" ht="93" x14ac:dyDescent="0.35">
      <c r="A48" s="14">
        <v>43</v>
      </c>
      <c r="B48" s="29" t="s">
        <v>195</v>
      </c>
      <c r="C48" s="13" t="s">
        <v>191</v>
      </c>
      <c r="D48" s="14"/>
      <c r="E48" s="13" t="s">
        <v>192</v>
      </c>
      <c r="F48" s="13" t="s">
        <v>196</v>
      </c>
      <c r="G48" s="30">
        <v>20338</v>
      </c>
      <c r="H48" s="31">
        <v>0.18</v>
      </c>
      <c r="I48" s="30">
        <v>3660.86</v>
      </c>
      <c r="J48" s="32">
        <v>23999</v>
      </c>
      <c r="K48" s="14" t="s">
        <v>20</v>
      </c>
      <c r="L48" s="33">
        <v>45755</v>
      </c>
      <c r="M48" s="33">
        <v>46484</v>
      </c>
      <c r="N48" s="35"/>
      <c r="O48" s="13"/>
      <c r="P48" s="14"/>
      <c r="Q48" s="13"/>
      <c r="R48" s="13"/>
    </row>
    <row r="49" spans="1:18" ht="77.5" x14ac:dyDescent="0.35">
      <c r="A49" s="14">
        <v>44</v>
      </c>
      <c r="B49" s="29" t="s">
        <v>197</v>
      </c>
      <c r="C49" s="13" t="s">
        <v>188</v>
      </c>
      <c r="D49" s="14"/>
      <c r="E49" s="13" t="s">
        <v>189</v>
      </c>
      <c r="F49" s="13"/>
      <c r="G49" s="30">
        <v>13887</v>
      </c>
      <c r="H49" s="31">
        <v>0.18</v>
      </c>
      <c r="I49" s="30">
        <v>2500</v>
      </c>
      <c r="J49" s="32">
        <v>16386</v>
      </c>
      <c r="K49" s="14" t="s">
        <v>20</v>
      </c>
      <c r="L49" s="33">
        <v>45755</v>
      </c>
      <c r="M49" s="33">
        <v>46484</v>
      </c>
      <c r="N49" s="35"/>
      <c r="O49" s="13"/>
      <c r="P49" s="14"/>
      <c r="Q49" s="13"/>
      <c r="R49" s="13"/>
    </row>
    <row r="50" spans="1:18" ht="31" x14ac:dyDescent="0.35">
      <c r="A50" s="14">
        <v>45</v>
      </c>
      <c r="B50" s="29" t="s">
        <v>198</v>
      </c>
      <c r="C50" s="13" t="s">
        <v>188</v>
      </c>
      <c r="D50" s="14"/>
      <c r="E50" s="13" t="s">
        <v>189</v>
      </c>
      <c r="F50" s="13"/>
      <c r="G50" s="30">
        <v>887500</v>
      </c>
      <c r="H50" s="31">
        <v>0.18</v>
      </c>
      <c r="I50" s="30">
        <v>159750</v>
      </c>
      <c r="J50" s="32">
        <v>1047250</v>
      </c>
      <c r="K50" s="14" t="s">
        <v>20</v>
      </c>
      <c r="L50" s="33">
        <v>45755</v>
      </c>
      <c r="M50" s="33">
        <v>46484</v>
      </c>
      <c r="N50" s="35"/>
      <c r="O50" s="13"/>
      <c r="P50" s="14"/>
      <c r="Q50" s="13"/>
      <c r="R50" s="13"/>
    </row>
    <row r="51" spans="1:18" ht="46.5" x14ac:dyDescent="0.35">
      <c r="A51" s="14">
        <v>46</v>
      </c>
      <c r="B51" s="29" t="s">
        <v>199</v>
      </c>
      <c r="C51" s="13" t="s">
        <v>188</v>
      </c>
      <c r="D51" s="14"/>
      <c r="E51" s="13" t="s">
        <v>189</v>
      </c>
      <c r="F51" s="13"/>
      <c r="G51" s="30">
        <v>21970</v>
      </c>
      <c r="H51" s="31">
        <v>0.18</v>
      </c>
      <c r="I51" s="30">
        <v>3955</v>
      </c>
      <c r="J51" s="32">
        <v>25924.6</v>
      </c>
      <c r="K51" s="14" t="s">
        <v>20</v>
      </c>
      <c r="L51" s="33">
        <v>45755</v>
      </c>
      <c r="M51" s="33">
        <v>46484</v>
      </c>
      <c r="N51" s="35"/>
      <c r="O51" s="13"/>
      <c r="P51" s="14"/>
      <c r="Q51" s="13"/>
      <c r="R51" s="13"/>
    </row>
    <row r="52" spans="1:18" ht="31" x14ac:dyDescent="0.35">
      <c r="A52" s="14">
        <v>47</v>
      </c>
      <c r="B52" s="29" t="s">
        <v>200</v>
      </c>
      <c r="C52" s="13" t="s">
        <v>201</v>
      </c>
      <c r="D52" s="14"/>
      <c r="E52" s="13" t="s">
        <v>77</v>
      </c>
      <c r="F52" s="13" t="s">
        <v>202</v>
      </c>
      <c r="G52" s="30">
        <v>1674107</v>
      </c>
      <c r="H52" s="31">
        <v>0.05</v>
      </c>
      <c r="I52" s="30">
        <v>83705</v>
      </c>
      <c r="J52" s="32">
        <f>G52+I52</f>
        <v>1757812</v>
      </c>
      <c r="K52" s="14" t="s">
        <v>20</v>
      </c>
      <c r="L52" s="33">
        <v>45755</v>
      </c>
      <c r="M52" s="33">
        <v>46484</v>
      </c>
      <c r="N52" s="35"/>
      <c r="O52" s="13"/>
      <c r="P52" s="14"/>
      <c r="Q52" s="13"/>
      <c r="R52" s="13"/>
    </row>
    <row r="53" spans="1:18" ht="46.5" x14ac:dyDescent="0.35">
      <c r="A53" s="14">
        <v>48</v>
      </c>
      <c r="B53" s="29" t="s">
        <v>203</v>
      </c>
      <c r="C53" s="13" t="s">
        <v>204</v>
      </c>
      <c r="D53" s="14"/>
      <c r="E53" s="13" t="s">
        <v>205</v>
      </c>
      <c r="F53" s="13" t="s">
        <v>206</v>
      </c>
      <c r="G53" s="30">
        <v>89407</v>
      </c>
      <c r="H53" s="31">
        <v>0.18</v>
      </c>
      <c r="I53" s="30">
        <v>16093</v>
      </c>
      <c r="J53" s="32">
        <v>105500</v>
      </c>
      <c r="K53" s="14" t="s">
        <v>20</v>
      </c>
      <c r="L53" s="33">
        <v>45755</v>
      </c>
      <c r="M53" s="33">
        <v>46484</v>
      </c>
      <c r="N53" s="35"/>
      <c r="O53" s="13"/>
      <c r="P53" s="14"/>
      <c r="Q53" s="13"/>
      <c r="R53" s="13"/>
    </row>
    <row r="54" spans="1:18" s="46" customFormat="1" ht="31" x14ac:dyDescent="0.35">
      <c r="A54" s="37">
        <v>49</v>
      </c>
      <c r="B54" s="38" t="s">
        <v>207</v>
      </c>
      <c r="C54" s="39" t="s">
        <v>208</v>
      </c>
      <c r="D54" s="37" t="s">
        <v>163</v>
      </c>
      <c r="E54" s="39" t="s">
        <v>146</v>
      </c>
      <c r="F54" s="39" t="s">
        <v>209</v>
      </c>
      <c r="G54" s="40">
        <v>1406250</v>
      </c>
      <c r="H54" s="41">
        <v>0.05</v>
      </c>
      <c r="I54" s="40">
        <f>1406250*5%</f>
        <v>70312.5</v>
      </c>
      <c r="J54" s="42">
        <f>G54+I54</f>
        <v>1476562.5</v>
      </c>
      <c r="K54" s="43">
        <v>281248</v>
      </c>
      <c r="L54" s="44" t="s">
        <v>210</v>
      </c>
      <c r="M54" s="44">
        <v>46575</v>
      </c>
      <c r="N54" s="45">
        <v>15</v>
      </c>
      <c r="O54" s="39"/>
      <c r="P54" s="37"/>
      <c r="Q54" s="39"/>
      <c r="R54" s="59">
        <f>N54*J54</f>
        <v>22148437.5</v>
      </c>
    </row>
    <row r="55" spans="1:18" s="46" customFormat="1" ht="31" x14ac:dyDescent="0.35">
      <c r="A55" s="37">
        <v>49</v>
      </c>
      <c r="B55" s="38" t="s">
        <v>207</v>
      </c>
      <c r="C55" s="39" t="s">
        <v>211</v>
      </c>
      <c r="D55" s="37" t="s">
        <v>168</v>
      </c>
      <c r="E55" s="39" t="s">
        <v>212</v>
      </c>
      <c r="F55" s="39" t="s">
        <v>213</v>
      </c>
      <c r="G55" s="40">
        <v>1406250</v>
      </c>
      <c r="H55" s="41">
        <v>0.05</v>
      </c>
      <c r="I55" s="40">
        <f>1406250*5%</f>
        <v>70312.5</v>
      </c>
      <c r="J55" s="42">
        <f>G55+I55</f>
        <v>1476562.5</v>
      </c>
      <c r="K55" s="43">
        <v>281248</v>
      </c>
      <c r="L55" s="44" t="s">
        <v>210</v>
      </c>
      <c r="M55" s="44">
        <v>46575</v>
      </c>
      <c r="N55" s="45">
        <v>10</v>
      </c>
      <c r="O55" s="39"/>
      <c r="P55" s="37"/>
      <c r="Q55" s="39"/>
      <c r="R55" s="59">
        <f>N55*J54</f>
        <v>14765625</v>
      </c>
    </row>
    <row r="56" spans="1:18" ht="31" x14ac:dyDescent="0.35">
      <c r="A56" s="14">
        <v>50</v>
      </c>
      <c r="B56" s="29" t="s">
        <v>214</v>
      </c>
      <c r="C56" s="13" t="s">
        <v>215</v>
      </c>
      <c r="D56" s="14"/>
      <c r="E56" s="13" t="s">
        <v>216</v>
      </c>
      <c r="F56" s="13" t="s">
        <v>217</v>
      </c>
      <c r="G56" s="30">
        <v>205000</v>
      </c>
      <c r="H56" s="31">
        <v>0.05</v>
      </c>
      <c r="I56" s="30">
        <f>G56*5%</f>
        <v>10250</v>
      </c>
      <c r="J56" s="32">
        <f>G56+I56</f>
        <v>215250</v>
      </c>
      <c r="K56" s="36">
        <v>40980</v>
      </c>
      <c r="L56" s="33" t="s">
        <v>210</v>
      </c>
      <c r="M56" s="33">
        <v>46575</v>
      </c>
      <c r="N56" s="35">
        <v>50</v>
      </c>
      <c r="O56" s="13"/>
      <c r="P56" s="14"/>
      <c r="Q56" s="13"/>
      <c r="R56" s="13"/>
    </row>
    <row r="57" spans="1:18" ht="31" x14ac:dyDescent="0.35">
      <c r="A57" s="14">
        <v>51</v>
      </c>
      <c r="B57" s="29" t="s">
        <v>218</v>
      </c>
      <c r="C57" s="13" t="s">
        <v>219</v>
      </c>
      <c r="D57" s="14"/>
      <c r="E57" s="13" t="s">
        <v>220</v>
      </c>
      <c r="F57" s="13" t="s">
        <v>221</v>
      </c>
      <c r="G57" s="30">
        <v>90000</v>
      </c>
      <c r="H57" s="31">
        <v>0.18</v>
      </c>
      <c r="I57" s="30">
        <v>16200</v>
      </c>
      <c r="J57" s="32">
        <v>106200</v>
      </c>
      <c r="K57" s="36">
        <v>10800</v>
      </c>
      <c r="L57" s="33" t="s">
        <v>210</v>
      </c>
      <c r="M57" s="33">
        <v>46575</v>
      </c>
      <c r="N57" s="35">
        <v>50</v>
      </c>
      <c r="O57" s="13"/>
      <c r="P57" s="14"/>
      <c r="Q57" s="13"/>
      <c r="R57" s="13"/>
    </row>
    <row r="58" spans="1:18" ht="62" x14ac:dyDescent="0.35">
      <c r="A58" s="14">
        <v>52</v>
      </c>
      <c r="B58" s="29" t="s">
        <v>222</v>
      </c>
      <c r="C58" s="13" t="s">
        <v>215</v>
      </c>
      <c r="D58" s="14" t="s">
        <v>163</v>
      </c>
      <c r="E58" s="13" t="s">
        <v>223</v>
      </c>
      <c r="F58" s="13" t="s">
        <v>224</v>
      </c>
      <c r="G58" s="30">
        <v>169998</v>
      </c>
      <c r="H58" s="31">
        <v>0.05</v>
      </c>
      <c r="I58" s="30">
        <f>G58*H58</f>
        <v>8499.9</v>
      </c>
      <c r="J58" s="32">
        <f>G58+I58</f>
        <v>178497.9</v>
      </c>
      <c r="K58" s="36">
        <v>29240</v>
      </c>
      <c r="L58" s="33" t="s">
        <v>210</v>
      </c>
      <c r="M58" s="33">
        <v>46575</v>
      </c>
      <c r="N58" s="35">
        <v>50</v>
      </c>
      <c r="O58" s="13" t="s">
        <v>225</v>
      </c>
      <c r="P58" s="14"/>
      <c r="Q58" s="13"/>
      <c r="R58" s="13"/>
    </row>
    <row r="59" spans="1:18" ht="46.5" x14ac:dyDescent="0.35">
      <c r="A59" s="14">
        <v>53</v>
      </c>
      <c r="B59" s="29" t="s">
        <v>226</v>
      </c>
      <c r="C59" s="13" t="s">
        <v>227</v>
      </c>
      <c r="D59" s="14"/>
      <c r="E59" s="13" t="s">
        <v>228</v>
      </c>
      <c r="F59" s="13" t="s">
        <v>229</v>
      </c>
      <c r="G59" s="30">
        <v>6294</v>
      </c>
      <c r="H59" s="31">
        <v>0.12</v>
      </c>
      <c r="I59" s="30">
        <v>755</v>
      </c>
      <c r="J59" s="32">
        <v>7049</v>
      </c>
      <c r="K59" s="14" t="s">
        <v>20</v>
      </c>
      <c r="L59" s="33" t="s">
        <v>210</v>
      </c>
      <c r="M59" s="33">
        <v>46575</v>
      </c>
      <c r="N59" s="35">
        <v>100</v>
      </c>
      <c r="O59" s="13"/>
      <c r="P59" s="13"/>
      <c r="Q59" s="13"/>
      <c r="R59" s="13"/>
    </row>
    <row r="60" spans="1:18" ht="46.5" x14ac:dyDescent="0.35">
      <c r="A60" s="14">
        <v>54</v>
      </c>
      <c r="B60" s="29" t="s">
        <v>230</v>
      </c>
      <c r="C60" s="13" t="s">
        <v>231</v>
      </c>
      <c r="D60" s="14"/>
      <c r="E60" s="13" t="s">
        <v>228</v>
      </c>
      <c r="F60" s="13" t="s">
        <v>232</v>
      </c>
      <c r="G60" s="30">
        <v>15732</v>
      </c>
      <c r="H60" s="31">
        <v>0.12</v>
      </c>
      <c r="I60" s="30">
        <v>1888</v>
      </c>
      <c r="J60" s="32">
        <v>17620</v>
      </c>
      <c r="K60" s="14" t="s">
        <v>20</v>
      </c>
      <c r="L60" s="33" t="s">
        <v>210</v>
      </c>
      <c r="M60" s="33">
        <v>46575</v>
      </c>
      <c r="N60" s="35">
        <v>250</v>
      </c>
      <c r="O60" s="13"/>
      <c r="P60" s="13"/>
      <c r="Q60" s="13"/>
      <c r="R60" s="13"/>
    </row>
    <row r="61" spans="1:18" s="46" customFormat="1" x14ac:dyDescent="0.35">
      <c r="A61" s="37">
        <v>55</v>
      </c>
      <c r="B61" s="38" t="s">
        <v>233</v>
      </c>
      <c r="C61" s="39" t="s">
        <v>234</v>
      </c>
      <c r="D61" s="37" t="s">
        <v>163</v>
      </c>
      <c r="E61" s="39" t="s">
        <v>235</v>
      </c>
      <c r="F61" s="39" t="s">
        <v>236</v>
      </c>
      <c r="G61" s="60">
        <v>25</v>
      </c>
      <c r="H61" s="41">
        <v>0.18</v>
      </c>
      <c r="I61" s="40">
        <v>4.5</v>
      </c>
      <c r="J61" s="61">
        <v>29.5</v>
      </c>
      <c r="K61" s="37" t="s">
        <v>20</v>
      </c>
      <c r="L61" s="44">
        <v>45889</v>
      </c>
      <c r="M61" s="44">
        <v>46618</v>
      </c>
      <c r="N61" s="45">
        <v>242439</v>
      </c>
      <c r="O61" s="39"/>
      <c r="P61" s="37"/>
      <c r="Q61" s="39"/>
      <c r="R61" s="39"/>
    </row>
    <row r="62" spans="1:18" s="46" customFormat="1" ht="31" x14ac:dyDescent="0.35">
      <c r="A62" s="37">
        <v>55</v>
      </c>
      <c r="B62" s="38" t="s">
        <v>233</v>
      </c>
      <c r="C62" s="39" t="s">
        <v>237</v>
      </c>
      <c r="D62" s="37" t="s">
        <v>168</v>
      </c>
      <c r="E62" s="39" t="s">
        <v>238</v>
      </c>
      <c r="F62" s="39" t="s">
        <v>239</v>
      </c>
      <c r="G62" s="60">
        <v>25</v>
      </c>
      <c r="H62" s="41">
        <v>0.18</v>
      </c>
      <c r="I62" s="40">
        <v>4.5</v>
      </c>
      <c r="J62" s="62">
        <v>29.5</v>
      </c>
      <c r="K62" s="37" t="s">
        <v>20</v>
      </c>
      <c r="L62" s="44">
        <v>45889</v>
      </c>
      <c r="M62" s="44">
        <v>46618</v>
      </c>
      <c r="N62" s="45">
        <v>161626</v>
      </c>
      <c r="O62" s="39"/>
      <c r="P62" s="37"/>
      <c r="Q62" s="39"/>
      <c r="R62" s="39"/>
    </row>
    <row r="63" spans="1:18" s="46" customFormat="1" ht="31" x14ac:dyDescent="0.35">
      <c r="A63" s="37">
        <v>56</v>
      </c>
      <c r="B63" s="38" t="s">
        <v>240</v>
      </c>
      <c r="C63" s="39" t="s">
        <v>241</v>
      </c>
      <c r="D63" s="37" t="s">
        <v>163</v>
      </c>
      <c r="E63" s="39"/>
      <c r="F63" s="39"/>
      <c r="G63" s="60">
        <v>21.67</v>
      </c>
      <c r="H63" s="41">
        <v>0.18</v>
      </c>
      <c r="I63" s="40">
        <v>3.9</v>
      </c>
      <c r="J63" s="61">
        <v>25.57</v>
      </c>
      <c r="K63" s="37" t="s">
        <v>20</v>
      </c>
      <c r="L63" s="44" t="s">
        <v>242</v>
      </c>
      <c r="M63" s="44" t="s">
        <v>20</v>
      </c>
      <c r="N63" s="63">
        <v>721907</v>
      </c>
      <c r="O63" s="39" t="s">
        <v>243</v>
      </c>
      <c r="P63" s="37" t="s">
        <v>244</v>
      </c>
      <c r="Q63" s="39"/>
      <c r="R63" s="39"/>
    </row>
    <row r="64" spans="1:18" s="46" customFormat="1" ht="31" x14ac:dyDescent="0.35">
      <c r="A64" s="37">
        <v>56</v>
      </c>
      <c r="B64" s="38" t="s">
        <v>240</v>
      </c>
      <c r="C64" s="39" t="s">
        <v>245</v>
      </c>
      <c r="D64" s="37" t="s">
        <v>168</v>
      </c>
      <c r="E64" s="39"/>
      <c r="F64" s="39"/>
      <c r="G64" s="60">
        <v>21.67</v>
      </c>
      <c r="H64" s="41">
        <v>0.18</v>
      </c>
      <c r="I64" s="40">
        <v>3.9</v>
      </c>
      <c r="J64" s="61">
        <v>25.57</v>
      </c>
      <c r="K64" s="37" t="s">
        <v>20</v>
      </c>
      <c r="L64" s="44" t="s">
        <v>242</v>
      </c>
      <c r="M64" s="44" t="s">
        <v>20</v>
      </c>
      <c r="N64" s="63"/>
      <c r="O64" s="39" t="s">
        <v>243</v>
      </c>
      <c r="P64" s="37" t="s">
        <v>244</v>
      </c>
      <c r="Q64" s="39"/>
      <c r="R64" s="39"/>
    </row>
    <row r="65" spans="1:18" s="46" customFormat="1" ht="31" x14ac:dyDescent="0.35">
      <c r="A65" s="37">
        <v>57</v>
      </c>
      <c r="B65" s="38" t="s">
        <v>246</v>
      </c>
      <c r="C65" s="39" t="s">
        <v>247</v>
      </c>
      <c r="D65" s="37" t="s">
        <v>163</v>
      </c>
      <c r="E65" s="39"/>
      <c r="F65" s="39"/>
      <c r="G65" s="60">
        <v>1.29</v>
      </c>
      <c r="H65" s="41">
        <v>0.05</v>
      </c>
      <c r="I65" s="40">
        <v>0.06</v>
      </c>
      <c r="J65" s="61">
        <v>1.35</v>
      </c>
      <c r="K65" s="37" t="s">
        <v>20</v>
      </c>
      <c r="L65" s="44" t="s">
        <v>242</v>
      </c>
      <c r="M65" s="44" t="s">
        <v>20</v>
      </c>
      <c r="N65" s="63">
        <v>12691233</v>
      </c>
      <c r="O65" s="39"/>
      <c r="P65" s="37" t="s">
        <v>244</v>
      </c>
      <c r="Q65" s="39"/>
      <c r="R65" s="39"/>
    </row>
    <row r="66" spans="1:18" s="46" customFormat="1" ht="31" x14ac:dyDescent="0.35">
      <c r="A66" s="37">
        <v>57</v>
      </c>
      <c r="B66" s="38" t="s">
        <v>246</v>
      </c>
      <c r="C66" s="39" t="s">
        <v>245</v>
      </c>
      <c r="D66" s="37" t="s">
        <v>168</v>
      </c>
      <c r="E66" s="39"/>
      <c r="F66" s="39"/>
      <c r="G66" s="60">
        <v>1.29</v>
      </c>
      <c r="H66" s="41">
        <v>0.05</v>
      </c>
      <c r="I66" s="40">
        <v>0.06</v>
      </c>
      <c r="J66" s="61">
        <v>1.35</v>
      </c>
      <c r="K66" s="37" t="s">
        <v>20</v>
      </c>
      <c r="L66" s="44" t="s">
        <v>242</v>
      </c>
      <c r="M66" s="44" t="s">
        <v>20</v>
      </c>
      <c r="N66" s="63"/>
      <c r="O66" s="39"/>
      <c r="P66" s="37" t="s">
        <v>244</v>
      </c>
      <c r="Q66" s="39"/>
      <c r="R66" s="39"/>
    </row>
    <row r="67" spans="1:18" s="46" customFormat="1" ht="46.5" x14ac:dyDescent="0.35">
      <c r="A67" s="37">
        <v>58</v>
      </c>
      <c r="B67" s="38" t="s">
        <v>248</v>
      </c>
      <c r="C67" s="39" t="s">
        <v>247</v>
      </c>
      <c r="D67" s="37" t="s">
        <v>163</v>
      </c>
      <c r="E67" s="39"/>
      <c r="F67" s="39"/>
      <c r="G67" s="60">
        <v>3.97</v>
      </c>
      <c r="H67" s="41">
        <v>0.05</v>
      </c>
      <c r="I67" s="40">
        <v>0.2</v>
      </c>
      <c r="J67" s="61">
        <v>4.17</v>
      </c>
      <c r="K67" s="37" t="s">
        <v>20</v>
      </c>
      <c r="L67" s="44" t="s">
        <v>242</v>
      </c>
      <c r="M67" s="44" t="s">
        <v>20</v>
      </c>
      <c r="N67" s="63">
        <v>441259</v>
      </c>
      <c r="O67" s="39"/>
      <c r="P67" s="37" t="s">
        <v>244</v>
      </c>
      <c r="Q67" s="39"/>
      <c r="R67" s="39"/>
    </row>
    <row r="68" spans="1:18" s="46" customFormat="1" ht="46.5" x14ac:dyDescent="0.35">
      <c r="A68" s="37">
        <v>58</v>
      </c>
      <c r="B68" s="38" t="s">
        <v>248</v>
      </c>
      <c r="C68" s="39" t="s">
        <v>245</v>
      </c>
      <c r="D68" s="37" t="s">
        <v>249</v>
      </c>
      <c r="E68" s="39"/>
      <c r="F68" s="39"/>
      <c r="G68" s="60">
        <v>3.97</v>
      </c>
      <c r="H68" s="41">
        <v>0.05</v>
      </c>
      <c r="I68" s="40">
        <v>0.2</v>
      </c>
      <c r="J68" s="61">
        <v>4.17</v>
      </c>
      <c r="K68" s="37" t="s">
        <v>20</v>
      </c>
      <c r="L68" s="44" t="s">
        <v>242</v>
      </c>
      <c r="M68" s="44" t="s">
        <v>20</v>
      </c>
      <c r="N68" s="63"/>
      <c r="O68" s="39"/>
      <c r="P68" s="37" t="s">
        <v>244</v>
      </c>
      <c r="Q68" s="39"/>
      <c r="R68" s="39"/>
    </row>
    <row r="69" spans="1:18" s="46" customFormat="1" ht="31" x14ac:dyDescent="0.35">
      <c r="A69" s="37">
        <v>59</v>
      </c>
      <c r="B69" s="38" t="s">
        <v>250</v>
      </c>
      <c r="C69" s="39" t="s">
        <v>247</v>
      </c>
      <c r="D69" s="37" t="s">
        <v>163</v>
      </c>
      <c r="E69" s="39"/>
      <c r="F69" s="39"/>
      <c r="G69" s="60">
        <v>1.42</v>
      </c>
      <c r="H69" s="41">
        <v>0.05</v>
      </c>
      <c r="I69" s="40">
        <v>1.49</v>
      </c>
      <c r="J69" s="61">
        <v>1.49</v>
      </c>
      <c r="K69" s="37" t="s">
        <v>20</v>
      </c>
      <c r="L69" s="44" t="s">
        <v>242</v>
      </c>
      <c r="M69" s="44" t="s">
        <v>20</v>
      </c>
      <c r="N69" s="63">
        <v>118752</v>
      </c>
      <c r="O69" s="39"/>
      <c r="P69" s="37" t="s">
        <v>244</v>
      </c>
      <c r="Q69" s="39"/>
      <c r="R69" s="39"/>
    </row>
    <row r="70" spans="1:18" s="46" customFormat="1" ht="31" x14ac:dyDescent="0.35">
      <c r="A70" s="37">
        <v>59</v>
      </c>
      <c r="B70" s="38" t="s">
        <v>250</v>
      </c>
      <c r="C70" s="39" t="s">
        <v>245</v>
      </c>
      <c r="D70" s="37" t="s">
        <v>249</v>
      </c>
      <c r="E70" s="39"/>
      <c r="F70" s="39"/>
      <c r="G70" s="60">
        <v>1.42</v>
      </c>
      <c r="H70" s="41">
        <v>0.05</v>
      </c>
      <c r="I70" s="40">
        <v>1.49</v>
      </c>
      <c r="J70" s="61">
        <v>1.49</v>
      </c>
      <c r="K70" s="37" t="s">
        <v>20</v>
      </c>
      <c r="L70" s="44" t="s">
        <v>242</v>
      </c>
      <c r="M70" s="44" t="s">
        <v>20</v>
      </c>
      <c r="N70" s="63"/>
      <c r="O70" s="39"/>
      <c r="P70" s="37" t="s">
        <v>244</v>
      </c>
      <c r="Q70" s="39"/>
      <c r="R70" s="39"/>
    </row>
    <row r="71" spans="1:18" s="46" customFormat="1" ht="31" x14ac:dyDescent="0.35">
      <c r="A71" s="37">
        <v>60</v>
      </c>
      <c r="B71" s="38" t="s">
        <v>251</v>
      </c>
      <c r="C71" s="39" t="s">
        <v>252</v>
      </c>
      <c r="D71" s="37" t="s">
        <v>60</v>
      </c>
      <c r="E71" s="39" t="s">
        <v>253</v>
      </c>
      <c r="F71" s="39" t="s">
        <v>254</v>
      </c>
      <c r="G71" s="40">
        <v>77775</v>
      </c>
      <c r="H71" s="41">
        <v>0.12</v>
      </c>
      <c r="I71" s="40">
        <v>9333</v>
      </c>
      <c r="J71" s="42">
        <v>87108</v>
      </c>
      <c r="K71" s="37" t="s">
        <v>20</v>
      </c>
      <c r="L71" s="44" t="s">
        <v>242</v>
      </c>
      <c r="M71" s="44" t="s">
        <v>255</v>
      </c>
      <c r="N71" s="45">
        <v>60</v>
      </c>
      <c r="O71" s="39"/>
      <c r="P71" s="37" t="s">
        <v>244</v>
      </c>
      <c r="Q71" s="39"/>
      <c r="R71" s="39"/>
    </row>
    <row r="72" spans="1:18" s="46" customFormat="1" ht="31" x14ac:dyDescent="0.35">
      <c r="A72" s="37">
        <v>61</v>
      </c>
      <c r="B72" s="38" t="s">
        <v>256</v>
      </c>
      <c r="C72" s="39" t="s">
        <v>257</v>
      </c>
      <c r="D72" s="37" t="s">
        <v>258</v>
      </c>
      <c r="E72" s="39" t="s">
        <v>259</v>
      </c>
      <c r="F72" s="39" t="s">
        <v>260</v>
      </c>
      <c r="G72" s="40">
        <v>300051</v>
      </c>
      <c r="H72" s="41">
        <v>0.12</v>
      </c>
      <c r="I72" s="40">
        <v>36006</v>
      </c>
      <c r="J72" s="42">
        <v>336057</v>
      </c>
      <c r="K72" s="37" t="s">
        <v>20</v>
      </c>
      <c r="L72" s="44" t="s">
        <v>242</v>
      </c>
      <c r="M72" s="44" t="s">
        <v>255</v>
      </c>
      <c r="N72" s="45">
        <v>7</v>
      </c>
      <c r="O72" s="39"/>
      <c r="P72" s="37"/>
      <c r="Q72" s="39"/>
      <c r="R72" s="39"/>
    </row>
    <row r="73" spans="1:18" s="20" customFormat="1" ht="31" x14ac:dyDescent="0.35">
      <c r="A73" s="6">
        <v>62</v>
      </c>
      <c r="B73" s="8" t="s">
        <v>261</v>
      </c>
      <c r="C73" s="18" t="s">
        <v>262</v>
      </c>
      <c r="D73" s="6"/>
      <c r="E73" s="18" t="s">
        <v>263</v>
      </c>
      <c r="F73" s="18"/>
      <c r="G73" s="9">
        <v>5425</v>
      </c>
      <c r="H73" s="26">
        <v>0.18</v>
      </c>
      <c r="I73" s="9">
        <v>977</v>
      </c>
      <c r="J73" s="10">
        <v>6402</v>
      </c>
      <c r="K73" s="6"/>
      <c r="L73" s="11" t="s">
        <v>242</v>
      </c>
      <c r="M73" s="11"/>
      <c r="N73" s="21"/>
      <c r="O73" s="18"/>
      <c r="P73" s="6"/>
      <c r="Q73" s="18"/>
      <c r="R73" s="18"/>
    </row>
    <row r="74" spans="1:18" s="20" customFormat="1" ht="46.5" x14ac:dyDescent="0.35">
      <c r="A74" s="6">
        <v>63</v>
      </c>
      <c r="B74" s="8" t="s">
        <v>264</v>
      </c>
      <c r="C74" s="18" t="s">
        <v>262</v>
      </c>
      <c r="D74" s="6"/>
      <c r="E74" s="18" t="s">
        <v>263</v>
      </c>
      <c r="F74" s="18" t="s">
        <v>265</v>
      </c>
      <c r="G74" s="9">
        <v>254200</v>
      </c>
      <c r="H74" s="26">
        <v>0.18</v>
      </c>
      <c r="I74" s="9">
        <v>45756</v>
      </c>
      <c r="J74" s="10">
        <v>299956</v>
      </c>
      <c r="K74" s="6"/>
      <c r="L74" s="11" t="s">
        <v>242</v>
      </c>
      <c r="M74" s="11"/>
      <c r="N74" s="21"/>
      <c r="O74" s="18"/>
      <c r="P74" s="6"/>
      <c r="Q74" s="18"/>
      <c r="R74" s="18"/>
    </row>
    <row r="75" spans="1:18" s="20" customFormat="1" ht="31" x14ac:dyDescent="0.35">
      <c r="A75" s="6">
        <v>64</v>
      </c>
      <c r="B75" s="8" t="s">
        <v>266</v>
      </c>
      <c r="C75" s="18" t="s">
        <v>262</v>
      </c>
      <c r="D75" s="6"/>
      <c r="E75" s="18" t="s">
        <v>263</v>
      </c>
      <c r="F75" s="18" t="s">
        <v>267</v>
      </c>
      <c r="G75" s="9">
        <v>120900</v>
      </c>
      <c r="H75" s="26">
        <v>0.18</v>
      </c>
      <c r="I75" s="9">
        <v>21762</v>
      </c>
      <c r="J75" s="10">
        <v>142662</v>
      </c>
      <c r="K75" s="6"/>
      <c r="L75" s="11" t="s">
        <v>242</v>
      </c>
      <c r="M75" s="11"/>
      <c r="N75" s="21"/>
      <c r="O75" s="18"/>
      <c r="P75" s="6"/>
      <c r="Q75" s="18"/>
      <c r="R75" s="18"/>
    </row>
    <row r="76" spans="1:18" s="20" customFormat="1" ht="31" x14ac:dyDescent="0.35">
      <c r="A76" s="6">
        <v>65</v>
      </c>
      <c r="B76" s="8" t="s">
        <v>268</v>
      </c>
      <c r="C76" s="18" t="s">
        <v>262</v>
      </c>
      <c r="D76" s="6"/>
      <c r="E76" s="18" t="s">
        <v>263</v>
      </c>
      <c r="F76" s="18" t="s">
        <v>269</v>
      </c>
      <c r="G76" s="9">
        <v>4960</v>
      </c>
      <c r="H76" s="26">
        <v>0.18</v>
      </c>
      <c r="I76" s="9">
        <v>893</v>
      </c>
      <c r="J76" s="10">
        <v>5853</v>
      </c>
      <c r="K76" s="6"/>
      <c r="L76" s="11" t="s">
        <v>242</v>
      </c>
      <c r="M76" s="11"/>
      <c r="N76" s="21"/>
      <c r="O76" s="18"/>
      <c r="P76" s="6"/>
      <c r="Q76" s="18"/>
      <c r="R76" s="18"/>
    </row>
    <row r="77" spans="1:18" s="20" customFormat="1" ht="31" x14ac:dyDescent="0.35">
      <c r="A77" s="6">
        <v>66</v>
      </c>
      <c r="B77" s="8" t="s">
        <v>270</v>
      </c>
      <c r="C77" s="18" t="s">
        <v>262</v>
      </c>
      <c r="D77" s="6"/>
      <c r="E77" s="18" t="s">
        <v>263</v>
      </c>
      <c r="F77" s="18" t="s">
        <v>271</v>
      </c>
      <c r="G77" s="9">
        <v>11005</v>
      </c>
      <c r="H77" s="26">
        <v>0.18</v>
      </c>
      <c r="I77" s="9">
        <v>1981</v>
      </c>
      <c r="J77" s="10">
        <v>12986</v>
      </c>
      <c r="K77" s="6"/>
      <c r="L77" s="11" t="s">
        <v>242</v>
      </c>
      <c r="M77" s="11"/>
      <c r="N77" s="21"/>
      <c r="O77" s="18"/>
      <c r="P77" s="6"/>
      <c r="Q77" s="18"/>
      <c r="R77" s="18"/>
    </row>
    <row r="78" spans="1:18" s="46" customFormat="1" ht="31" x14ac:dyDescent="0.35">
      <c r="A78" s="37">
        <v>67</v>
      </c>
      <c r="B78" s="38" t="s">
        <v>272</v>
      </c>
      <c r="C78" s="39" t="s">
        <v>273</v>
      </c>
      <c r="D78" s="37" t="s">
        <v>60</v>
      </c>
      <c r="E78" s="39" t="s">
        <v>274</v>
      </c>
      <c r="F78" s="39" t="s">
        <v>275</v>
      </c>
      <c r="G78" s="40">
        <v>69118700</v>
      </c>
      <c r="H78" s="64">
        <v>0.1285</v>
      </c>
      <c r="I78" s="40">
        <v>8881753</v>
      </c>
      <c r="J78" s="42">
        <v>78000453</v>
      </c>
      <c r="K78" s="45">
        <v>27300159</v>
      </c>
      <c r="L78" s="44" t="s">
        <v>242</v>
      </c>
      <c r="M78" s="44" t="s">
        <v>255</v>
      </c>
      <c r="N78" s="45">
        <v>5</v>
      </c>
      <c r="O78" s="39"/>
      <c r="P78" s="37"/>
      <c r="Q78" s="39"/>
      <c r="R78" s="39"/>
    </row>
    <row r="79" spans="1:18" ht="31" x14ac:dyDescent="0.35">
      <c r="A79" s="14">
        <v>68</v>
      </c>
      <c r="B79" s="29" t="s">
        <v>276</v>
      </c>
      <c r="C79" s="13" t="s">
        <v>277</v>
      </c>
      <c r="D79" s="37" t="s">
        <v>60</v>
      </c>
      <c r="E79" s="13" t="s">
        <v>212</v>
      </c>
      <c r="F79" s="13" t="s">
        <v>278</v>
      </c>
      <c r="G79" s="30">
        <v>4333333</v>
      </c>
      <c r="H79" s="31">
        <v>0.05</v>
      </c>
      <c r="I79" s="30">
        <v>216667</v>
      </c>
      <c r="J79" s="32">
        <v>4500000</v>
      </c>
      <c r="K79" s="35">
        <v>1137500</v>
      </c>
      <c r="L79" s="14" t="s">
        <v>242</v>
      </c>
      <c r="M79" s="14" t="s">
        <v>255</v>
      </c>
      <c r="N79" s="35">
        <v>10</v>
      </c>
      <c r="O79" s="13"/>
      <c r="P79" s="14"/>
      <c r="Q79" s="13"/>
      <c r="R79" s="13"/>
    </row>
    <row r="80" spans="1:18" ht="46.5" x14ac:dyDescent="0.35">
      <c r="A80" s="14">
        <f>A79+1</f>
        <v>69</v>
      </c>
      <c r="B80" s="29" t="s">
        <v>279</v>
      </c>
      <c r="C80" s="13" t="s">
        <v>280</v>
      </c>
      <c r="D80" s="37" t="s">
        <v>60</v>
      </c>
      <c r="E80" s="38" t="s">
        <v>281</v>
      </c>
      <c r="F80" s="13" t="s">
        <v>282</v>
      </c>
      <c r="G80" s="65">
        <v>612500</v>
      </c>
      <c r="H80" s="31">
        <v>0.05</v>
      </c>
      <c r="I80" s="65">
        <f>G80*5%</f>
        <v>30625</v>
      </c>
      <c r="J80" s="66">
        <f>G80+I80</f>
        <v>643125</v>
      </c>
      <c r="K80" s="67">
        <v>202125</v>
      </c>
      <c r="L80" s="14" t="s">
        <v>283</v>
      </c>
      <c r="M80" s="14" t="s">
        <v>284</v>
      </c>
      <c r="N80" s="35">
        <v>20</v>
      </c>
      <c r="O80" s="13"/>
      <c r="P80" s="14"/>
      <c r="Q80" s="13"/>
      <c r="R80" s="13"/>
    </row>
    <row r="81" spans="1:18" ht="46.5" x14ac:dyDescent="0.35">
      <c r="A81" s="14">
        <f t="shared" ref="A81:A100" si="0">A80+1</f>
        <v>70</v>
      </c>
      <c r="B81" s="29" t="s">
        <v>285</v>
      </c>
      <c r="C81" s="13" t="s">
        <v>286</v>
      </c>
      <c r="D81" s="37" t="s">
        <v>60</v>
      </c>
      <c r="E81" s="13" t="s">
        <v>287</v>
      </c>
      <c r="F81" s="13" t="s">
        <v>288</v>
      </c>
      <c r="G81" s="65">
        <v>159000</v>
      </c>
      <c r="H81" s="31">
        <v>0.05</v>
      </c>
      <c r="I81" s="65">
        <v>7950</v>
      </c>
      <c r="J81" s="32">
        <v>166950</v>
      </c>
      <c r="K81" s="35">
        <v>31800</v>
      </c>
      <c r="L81" s="14" t="s">
        <v>283</v>
      </c>
      <c r="M81" s="14" t="s">
        <v>284</v>
      </c>
      <c r="N81" s="35">
        <v>30</v>
      </c>
      <c r="O81" s="13"/>
      <c r="P81" s="14"/>
      <c r="Q81" s="13"/>
      <c r="R81" s="13"/>
    </row>
    <row r="82" spans="1:18" ht="62" x14ac:dyDescent="0.35">
      <c r="A82" s="14">
        <f t="shared" si="0"/>
        <v>71</v>
      </c>
      <c r="B82" s="29" t="s">
        <v>289</v>
      </c>
      <c r="C82" s="13" t="s">
        <v>290</v>
      </c>
      <c r="D82" s="37" t="s">
        <v>60</v>
      </c>
      <c r="E82" s="68" t="s">
        <v>212</v>
      </c>
      <c r="F82" s="13" t="s">
        <v>291</v>
      </c>
      <c r="G82" s="69">
        <v>2133929</v>
      </c>
      <c r="H82" s="70">
        <v>0.12</v>
      </c>
      <c r="I82" s="69">
        <v>256071</v>
      </c>
      <c r="J82" s="71">
        <v>2390000</v>
      </c>
      <c r="K82" s="72">
        <v>1045625</v>
      </c>
      <c r="L82" s="14" t="s">
        <v>283</v>
      </c>
      <c r="M82" s="14" t="s">
        <v>284</v>
      </c>
      <c r="N82" s="14">
        <v>80</v>
      </c>
      <c r="O82" s="13"/>
      <c r="P82" s="14"/>
      <c r="Q82" s="13"/>
      <c r="R82" s="13"/>
    </row>
    <row r="83" spans="1:18" ht="46.5" x14ac:dyDescent="0.35">
      <c r="A83" s="14">
        <f t="shared" si="0"/>
        <v>72</v>
      </c>
      <c r="B83" s="29" t="s">
        <v>292</v>
      </c>
      <c r="C83" s="13" t="s">
        <v>293</v>
      </c>
      <c r="D83" s="37" t="s">
        <v>60</v>
      </c>
      <c r="E83" s="13" t="s">
        <v>294</v>
      </c>
      <c r="F83" s="13" t="s">
        <v>295</v>
      </c>
      <c r="G83" s="69">
        <v>1035513</v>
      </c>
      <c r="H83" s="70">
        <v>0.12</v>
      </c>
      <c r="I83" s="73">
        <v>124262</v>
      </c>
      <c r="J83" s="74">
        <v>1159775</v>
      </c>
      <c r="K83" s="36">
        <v>155327</v>
      </c>
      <c r="L83" s="14" t="s">
        <v>283</v>
      </c>
      <c r="M83" s="14" t="s">
        <v>284</v>
      </c>
      <c r="N83" s="35"/>
      <c r="O83" s="13"/>
      <c r="P83" s="14"/>
      <c r="Q83" s="13"/>
      <c r="R83" s="13"/>
    </row>
    <row r="84" spans="1:18" ht="62" x14ac:dyDescent="0.35">
      <c r="A84" s="14">
        <f t="shared" si="0"/>
        <v>73</v>
      </c>
      <c r="B84" s="29" t="s">
        <v>296</v>
      </c>
      <c r="C84" s="13" t="s">
        <v>297</v>
      </c>
      <c r="D84" s="37" t="s">
        <v>60</v>
      </c>
      <c r="E84" s="13" t="s">
        <v>294</v>
      </c>
      <c r="F84" s="13" t="s">
        <v>298</v>
      </c>
      <c r="G84" s="75">
        <v>331923</v>
      </c>
      <c r="H84" s="76">
        <v>0.12</v>
      </c>
      <c r="I84" s="75">
        <v>39831</v>
      </c>
      <c r="J84" s="77">
        <v>371754</v>
      </c>
      <c r="K84" s="67">
        <v>49788</v>
      </c>
      <c r="L84" s="14" t="s">
        <v>283</v>
      </c>
      <c r="M84" s="14" t="s">
        <v>284</v>
      </c>
      <c r="N84" s="35"/>
      <c r="O84" s="13"/>
      <c r="P84" s="14"/>
      <c r="Q84" s="13"/>
      <c r="R84" s="13"/>
    </row>
    <row r="85" spans="1:18" ht="62" x14ac:dyDescent="0.35">
      <c r="A85" s="14">
        <f t="shared" si="0"/>
        <v>74</v>
      </c>
      <c r="B85" s="29" t="s">
        <v>299</v>
      </c>
      <c r="C85" s="13" t="s">
        <v>297</v>
      </c>
      <c r="D85" s="37" t="s">
        <v>60</v>
      </c>
      <c r="E85" s="13" t="s">
        <v>300</v>
      </c>
      <c r="F85" s="13" t="s">
        <v>301</v>
      </c>
      <c r="G85" s="75">
        <v>483538</v>
      </c>
      <c r="H85" s="76">
        <v>0.12</v>
      </c>
      <c r="I85" s="75">
        <v>58025</v>
      </c>
      <c r="J85" s="78">
        <v>541563</v>
      </c>
      <c r="K85" s="67">
        <v>72531</v>
      </c>
      <c r="L85" s="14" t="s">
        <v>283</v>
      </c>
      <c r="M85" s="14" t="s">
        <v>284</v>
      </c>
      <c r="N85" s="35"/>
      <c r="O85" s="13"/>
      <c r="P85" s="14"/>
      <c r="Q85" s="13"/>
      <c r="R85" s="13"/>
    </row>
    <row r="86" spans="1:18" ht="31" x14ac:dyDescent="0.35">
      <c r="A86" s="14">
        <f t="shared" si="0"/>
        <v>75</v>
      </c>
      <c r="B86" s="29" t="s">
        <v>302</v>
      </c>
      <c r="C86" s="13" t="s">
        <v>297</v>
      </c>
      <c r="D86" s="37" t="s">
        <v>60</v>
      </c>
      <c r="E86" s="13" t="s">
        <v>303</v>
      </c>
      <c r="F86" s="13" t="s">
        <v>304</v>
      </c>
      <c r="G86" s="73">
        <v>8473</v>
      </c>
      <c r="H86" s="76">
        <v>0.12</v>
      </c>
      <c r="I86" s="73">
        <v>1017</v>
      </c>
      <c r="J86" s="74">
        <v>9490</v>
      </c>
      <c r="K86" s="67">
        <v>1271</v>
      </c>
      <c r="L86" s="14" t="s">
        <v>283</v>
      </c>
      <c r="M86" s="14" t="s">
        <v>284</v>
      </c>
      <c r="N86" s="35"/>
      <c r="O86" s="13"/>
      <c r="P86" s="14"/>
      <c r="Q86" s="13"/>
      <c r="R86" s="13"/>
    </row>
    <row r="87" spans="1:18" ht="31" x14ac:dyDescent="0.35">
      <c r="A87" s="14">
        <f t="shared" si="0"/>
        <v>76</v>
      </c>
      <c r="B87" s="29" t="s">
        <v>305</v>
      </c>
      <c r="C87" s="13" t="s">
        <v>297</v>
      </c>
      <c r="D87" s="37" t="s">
        <v>60</v>
      </c>
      <c r="E87" s="13" t="s">
        <v>303</v>
      </c>
      <c r="F87" s="13"/>
      <c r="G87" s="73">
        <v>13480</v>
      </c>
      <c r="H87" s="76">
        <v>0.12</v>
      </c>
      <c r="I87" s="73">
        <v>1618</v>
      </c>
      <c r="J87" s="74">
        <v>15098</v>
      </c>
      <c r="K87" s="67">
        <v>2022</v>
      </c>
      <c r="L87" s="14" t="s">
        <v>283</v>
      </c>
      <c r="M87" s="14" t="s">
        <v>284</v>
      </c>
      <c r="N87" s="35"/>
      <c r="O87" s="13"/>
      <c r="P87" s="14"/>
      <c r="Q87" s="13"/>
      <c r="R87" s="13"/>
    </row>
    <row r="88" spans="1:18" ht="46.5" x14ac:dyDescent="0.35">
      <c r="A88" s="14">
        <f t="shared" si="0"/>
        <v>77</v>
      </c>
      <c r="B88" s="29" t="s">
        <v>306</v>
      </c>
      <c r="C88" s="13" t="s">
        <v>307</v>
      </c>
      <c r="D88" s="37" t="s">
        <v>60</v>
      </c>
      <c r="E88" s="13" t="s">
        <v>308</v>
      </c>
      <c r="F88" s="13" t="s">
        <v>309</v>
      </c>
      <c r="G88" s="79">
        <v>293590</v>
      </c>
      <c r="H88" s="70">
        <v>0.05</v>
      </c>
      <c r="I88" s="79">
        <v>14680</v>
      </c>
      <c r="J88" s="80">
        <v>308270</v>
      </c>
      <c r="K88" s="72">
        <v>103637</v>
      </c>
      <c r="L88" s="14" t="s">
        <v>283</v>
      </c>
      <c r="M88" s="14" t="s">
        <v>284</v>
      </c>
      <c r="N88" s="35"/>
      <c r="O88" s="13"/>
      <c r="P88" s="14"/>
      <c r="Q88" s="13"/>
      <c r="R88" s="13"/>
    </row>
    <row r="89" spans="1:18" ht="46.5" x14ac:dyDescent="0.35">
      <c r="A89" s="14">
        <f t="shared" si="0"/>
        <v>78</v>
      </c>
      <c r="B89" s="29" t="s">
        <v>310</v>
      </c>
      <c r="C89" s="13" t="s">
        <v>307</v>
      </c>
      <c r="D89" s="37" t="s">
        <v>60</v>
      </c>
      <c r="E89" s="13" t="s">
        <v>308</v>
      </c>
      <c r="F89" s="13" t="s">
        <v>311</v>
      </c>
      <c r="G89" s="81">
        <v>1049070</v>
      </c>
      <c r="H89" s="70">
        <v>0.05</v>
      </c>
      <c r="I89" s="79">
        <v>52454</v>
      </c>
      <c r="J89" s="80">
        <v>1101524</v>
      </c>
      <c r="K89" s="82">
        <v>370322</v>
      </c>
      <c r="L89" s="14" t="s">
        <v>283</v>
      </c>
      <c r="M89" s="14" t="s">
        <v>284</v>
      </c>
      <c r="N89" s="35"/>
      <c r="O89" s="13"/>
      <c r="P89" s="14"/>
      <c r="Q89" s="13"/>
      <c r="R89" s="13"/>
    </row>
    <row r="90" spans="1:18" ht="46.5" x14ac:dyDescent="0.35">
      <c r="A90" s="14">
        <f t="shared" si="0"/>
        <v>79</v>
      </c>
      <c r="B90" s="29" t="s">
        <v>312</v>
      </c>
      <c r="C90" s="13" t="s">
        <v>307</v>
      </c>
      <c r="D90" s="37" t="s">
        <v>60</v>
      </c>
      <c r="E90" s="13" t="s">
        <v>308</v>
      </c>
      <c r="F90" s="13" t="s">
        <v>313</v>
      </c>
      <c r="G90" s="79">
        <v>333795</v>
      </c>
      <c r="H90" s="70">
        <v>0.05</v>
      </c>
      <c r="I90" s="79">
        <v>16690</v>
      </c>
      <c r="J90" s="80">
        <v>350485</v>
      </c>
      <c r="K90" s="82">
        <v>117830</v>
      </c>
      <c r="L90" s="14" t="s">
        <v>283</v>
      </c>
      <c r="M90" s="14" t="s">
        <v>284</v>
      </c>
      <c r="N90" s="35"/>
      <c r="O90" s="13"/>
      <c r="P90" s="14"/>
      <c r="Q90" s="13"/>
      <c r="R90" s="13"/>
    </row>
    <row r="91" spans="1:18" ht="31" x14ac:dyDescent="0.35">
      <c r="A91" s="14">
        <f t="shared" si="0"/>
        <v>80</v>
      </c>
      <c r="B91" s="29" t="s">
        <v>314</v>
      </c>
      <c r="C91" s="13" t="s">
        <v>315</v>
      </c>
      <c r="D91" s="37" t="s">
        <v>60</v>
      </c>
      <c r="E91" s="68" t="s">
        <v>316</v>
      </c>
      <c r="F91" s="13"/>
      <c r="G91" s="79">
        <v>9821</v>
      </c>
      <c r="H91" s="70">
        <v>0.05</v>
      </c>
      <c r="I91" s="83">
        <v>491</v>
      </c>
      <c r="J91" s="80">
        <v>10312</v>
      </c>
      <c r="K91" s="35" t="s">
        <v>20</v>
      </c>
      <c r="L91" s="14" t="s">
        <v>283</v>
      </c>
      <c r="M91" s="14" t="s">
        <v>284</v>
      </c>
      <c r="N91" s="35"/>
      <c r="O91" s="13"/>
      <c r="P91" s="14"/>
      <c r="Q91" s="13"/>
      <c r="R91" s="13"/>
    </row>
    <row r="92" spans="1:18" ht="46.5" x14ac:dyDescent="0.35">
      <c r="A92" s="14">
        <f t="shared" si="0"/>
        <v>81</v>
      </c>
      <c r="B92" s="29" t="s">
        <v>317</v>
      </c>
      <c r="C92" s="13" t="s">
        <v>307</v>
      </c>
      <c r="D92" s="37" t="s">
        <v>60</v>
      </c>
      <c r="E92" s="13" t="s">
        <v>308</v>
      </c>
      <c r="F92" s="13"/>
      <c r="G92" s="79">
        <v>7055</v>
      </c>
      <c r="H92" s="70">
        <v>0.05</v>
      </c>
      <c r="I92" s="83">
        <v>353</v>
      </c>
      <c r="J92" s="80">
        <v>7408</v>
      </c>
      <c r="K92" s="35" t="s">
        <v>20</v>
      </c>
      <c r="L92" s="14" t="s">
        <v>283</v>
      </c>
      <c r="M92" s="14" t="s">
        <v>284</v>
      </c>
      <c r="N92" s="35"/>
      <c r="O92" s="13"/>
      <c r="P92" s="14"/>
      <c r="Q92" s="13"/>
      <c r="R92" s="13"/>
    </row>
    <row r="93" spans="1:18" ht="62" x14ac:dyDescent="0.35">
      <c r="A93" s="14">
        <f t="shared" si="0"/>
        <v>82</v>
      </c>
      <c r="B93" s="29" t="s">
        <v>16</v>
      </c>
      <c r="C93" s="13" t="s">
        <v>318</v>
      </c>
      <c r="D93" s="37" t="s">
        <v>60</v>
      </c>
      <c r="E93" s="68" t="s">
        <v>319</v>
      </c>
      <c r="F93" s="13" t="s">
        <v>320</v>
      </c>
      <c r="G93" s="84">
        <v>1890000</v>
      </c>
      <c r="H93" s="70">
        <v>0.05</v>
      </c>
      <c r="I93" s="84">
        <v>94500</v>
      </c>
      <c r="J93" s="85">
        <v>1984500</v>
      </c>
      <c r="K93" s="35">
        <v>378000</v>
      </c>
      <c r="L93" s="14" t="s">
        <v>283</v>
      </c>
      <c r="M93" s="14" t="s">
        <v>284</v>
      </c>
      <c r="N93" s="35"/>
      <c r="O93" s="13"/>
      <c r="P93" s="14"/>
      <c r="Q93" s="13"/>
      <c r="R93" s="13"/>
    </row>
    <row r="94" spans="1:18" ht="77.5" x14ac:dyDescent="0.35">
      <c r="A94" s="14">
        <f t="shared" si="0"/>
        <v>83</v>
      </c>
      <c r="B94" s="29" t="s">
        <v>321</v>
      </c>
      <c r="C94" s="13" t="s">
        <v>322</v>
      </c>
      <c r="D94" s="37" t="s">
        <v>60</v>
      </c>
      <c r="E94" s="86" t="s">
        <v>220</v>
      </c>
      <c r="F94" s="13" t="s">
        <v>323</v>
      </c>
      <c r="G94" s="75">
        <v>378000</v>
      </c>
      <c r="H94" s="87">
        <v>18</v>
      </c>
      <c r="I94" s="75">
        <v>68040</v>
      </c>
      <c r="J94" s="74">
        <v>446040</v>
      </c>
      <c r="K94" s="67">
        <v>45360</v>
      </c>
      <c r="L94" s="14" t="s">
        <v>283</v>
      </c>
      <c r="M94" s="14" t="s">
        <v>284</v>
      </c>
      <c r="N94" s="35"/>
      <c r="O94" s="13"/>
      <c r="P94" s="14"/>
      <c r="Q94" s="13"/>
      <c r="R94" s="13"/>
    </row>
    <row r="95" spans="1:18" ht="77.5" x14ac:dyDescent="0.35">
      <c r="A95" s="14">
        <f t="shared" si="0"/>
        <v>84</v>
      </c>
      <c r="B95" s="29" t="s">
        <v>324</v>
      </c>
      <c r="C95" s="13" t="s">
        <v>325</v>
      </c>
      <c r="D95" s="37" t="s">
        <v>60</v>
      </c>
      <c r="E95" s="68" t="s">
        <v>326</v>
      </c>
      <c r="F95" s="13" t="s">
        <v>327</v>
      </c>
      <c r="G95" s="79">
        <v>181285</v>
      </c>
      <c r="H95" s="76">
        <v>0.05</v>
      </c>
      <c r="I95" s="84">
        <v>9064</v>
      </c>
      <c r="J95" s="80">
        <v>190349</v>
      </c>
      <c r="K95" s="35" t="s">
        <v>20</v>
      </c>
      <c r="L95" s="14" t="s">
        <v>283</v>
      </c>
      <c r="M95" s="14" t="s">
        <v>284</v>
      </c>
      <c r="N95" s="35"/>
      <c r="O95" s="13"/>
      <c r="P95" s="14"/>
      <c r="Q95" s="13"/>
      <c r="R95" s="13"/>
    </row>
    <row r="96" spans="1:18" ht="77.5" x14ac:dyDescent="0.35">
      <c r="A96" s="14">
        <f t="shared" si="0"/>
        <v>85</v>
      </c>
      <c r="B96" s="29" t="s">
        <v>328</v>
      </c>
      <c r="C96" s="13" t="s">
        <v>329</v>
      </c>
      <c r="D96" s="37" t="s">
        <v>60</v>
      </c>
      <c r="E96" s="68" t="s">
        <v>330</v>
      </c>
      <c r="F96" s="13" t="s">
        <v>331</v>
      </c>
      <c r="G96" s="79">
        <v>113400</v>
      </c>
      <c r="H96" s="76">
        <v>0.05</v>
      </c>
      <c r="I96" s="84">
        <f>G96*5%</f>
        <v>5670</v>
      </c>
      <c r="J96" s="80">
        <f>G96+I96</f>
        <v>119070</v>
      </c>
      <c r="K96" s="35" t="s">
        <v>332</v>
      </c>
      <c r="L96" s="14" t="s">
        <v>283</v>
      </c>
      <c r="M96" s="14" t="s">
        <v>284</v>
      </c>
      <c r="N96" s="35"/>
      <c r="O96" s="13"/>
      <c r="P96" s="14"/>
      <c r="Q96" s="13"/>
      <c r="R96" s="13"/>
    </row>
    <row r="97" spans="1:18" ht="31" x14ac:dyDescent="0.35">
      <c r="A97" s="14">
        <f t="shared" si="0"/>
        <v>86</v>
      </c>
      <c r="B97" s="88" t="s">
        <v>333</v>
      </c>
      <c r="C97" s="13" t="s">
        <v>334</v>
      </c>
      <c r="D97" s="37" t="s">
        <v>60</v>
      </c>
      <c r="E97" s="89" t="s">
        <v>335</v>
      </c>
      <c r="F97" s="13" t="s">
        <v>336</v>
      </c>
      <c r="G97" s="73">
        <v>139000</v>
      </c>
      <c r="H97" s="76">
        <v>0.05</v>
      </c>
      <c r="I97" s="75">
        <f>G97*5%</f>
        <v>6950</v>
      </c>
      <c r="J97" s="74">
        <f>G97+I97</f>
        <v>145950</v>
      </c>
      <c r="K97" s="35">
        <v>27800</v>
      </c>
      <c r="L97" s="14" t="s">
        <v>283</v>
      </c>
      <c r="M97" s="14" t="s">
        <v>284</v>
      </c>
      <c r="N97" s="35">
        <v>5</v>
      </c>
      <c r="O97" s="13"/>
      <c r="P97" s="14"/>
      <c r="Q97" s="13"/>
      <c r="R97" s="13"/>
    </row>
    <row r="98" spans="1:18" ht="46.5" x14ac:dyDescent="0.35">
      <c r="A98" s="14">
        <f t="shared" si="0"/>
        <v>87</v>
      </c>
      <c r="B98" s="29" t="s">
        <v>337</v>
      </c>
      <c r="C98" s="13" t="s">
        <v>280</v>
      </c>
      <c r="D98" s="37" t="s">
        <v>60</v>
      </c>
      <c r="E98" s="89" t="s">
        <v>338</v>
      </c>
      <c r="F98" s="13" t="s">
        <v>339</v>
      </c>
      <c r="G98" s="73">
        <v>173625</v>
      </c>
      <c r="H98" s="87">
        <v>12</v>
      </c>
      <c r="I98" s="75">
        <v>20835</v>
      </c>
      <c r="J98" s="74">
        <v>194460</v>
      </c>
      <c r="K98" s="35" t="s">
        <v>20</v>
      </c>
      <c r="L98" s="14" t="s">
        <v>283</v>
      </c>
      <c r="M98" s="14" t="s">
        <v>284</v>
      </c>
      <c r="N98" s="35"/>
      <c r="O98" s="13"/>
      <c r="P98" s="14"/>
      <c r="Q98" s="13"/>
      <c r="R98" s="13"/>
    </row>
    <row r="99" spans="1:18" ht="46.5" x14ac:dyDescent="0.35">
      <c r="A99" s="14">
        <f t="shared" si="0"/>
        <v>88</v>
      </c>
      <c r="B99" s="29" t="s">
        <v>340</v>
      </c>
      <c r="C99" s="13" t="s">
        <v>341</v>
      </c>
      <c r="D99" s="37" t="s">
        <v>60</v>
      </c>
      <c r="E99" s="89" t="s">
        <v>342</v>
      </c>
      <c r="F99" s="13" t="s">
        <v>343</v>
      </c>
      <c r="G99" s="73">
        <v>134000</v>
      </c>
      <c r="H99" s="76">
        <v>0.05</v>
      </c>
      <c r="I99" s="75">
        <f>G99*5%</f>
        <v>6700</v>
      </c>
      <c r="J99" s="74">
        <f>G99+I99</f>
        <v>140700</v>
      </c>
      <c r="K99" s="35" t="s">
        <v>20</v>
      </c>
      <c r="L99" s="14"/>
      <c r="M99" s="14"/>
      <c r="N99" s="35"/>
      <c r="O99" s="13"/>
      <c r="P99" s="14"/>
      <c r="Q99" s="13"/>
      <c r="R99" s="13"/>
    </row>
    <row r="100" spans="1:18" ht="31" x14ac:dyDescent="0.35">
      <c r="A100" s="14">
        <f t="shared" si="0"/>
        <v>89</v>
      </c>
      <c r="B100" s="29" t="s">
        <v>344</v>
      </c>
      <c r="C100" s="29" t="s">
        <v>345</v>
      </c>
      <c r="D100" s="14" t="s">
        <v>163</v>
      </c>
      <c r="E100" s="29" t="s">
        <v>346</v>
      </c>
      <c r="F100" s="29" t="s">
        <v>347</v>
      </c>
      <c r="G100" s="90">
        <v>150000</v>
      </c>
      <c r="H100" s="31">
        <v>0.05</v>
      </c>
      <c r="I100" s="14">
        <v>7500</v>
      </c>
      <c r="J100" s="91">
        <v>157500</v>
      </c>
      <c r="K100" s="14" t="s">
        <v>348</v>
      </c>
      <c r="L100" s="14" t="s">
        <v>349</v>
      </c>
      <c r="M100" s="14" t="s">
        <v>350</v>
      </c>
      <c r="N100" s="35">
        <v>60</v>
      </c>
      <c r="O100" s="13"/>
      <c r="P100" s="14"/>
      <c r="Q100" s="13"/>
      <c r="R100" s="13"/>
    </row>
    <row r="101" spans="1:18" ht="46.5" x14ac:dyDescent="0.35">
      <c r="A101" s="14">
        <v>89</v>
      </c>
      <c r="B101" s="29" t="s">
        <v>344</v>
      </c>
      <c r="C101" s="29" t="s">
        <v>351</v>
      </c>
      <c r="D101" s="14" t="s">
        <v>168</v>
      </c>
      <c r="E101" s="29" t="s">
        <v>352</v>
      </c>
      <c r="F101" s="29" t="s">
        <v>353</v>
      </c>
      <c r="G101" s="29"/>
      <c r="H101" s="31">
        <v>0.05</v>
      </c>
      <c r="I101" s="36"/>
      <c r="J101" s="91">
        <v>157500</v>
      </c>
      <c r="K101" s="14" t="s">
        <v>348</v>
      </c>
      <c r="L101" s="14" t="s">
        <v>349</v>
      </c>
      <c r="M101" s="14" t="s">
        <v>350</v>
      </c>
      <c r="N101" s="35">
        <v>60</v>
      </c>
      <c r="O101" s="13"/>
      <c r="P101" s="14"/>
      <c r="Q101" s="13"/>
      <c r="R101" s="13"/>
    </row>
    <row r="102" spans="1:18" ht="31" x14ac:dyDescent="0.35">
      <c r="A102" s="14">
        <v>90</v>
      </c>
      <c r="B102" s="29" t="s">
        <v>354</v>
      </c>
      <c r="C102" s="88" t="s">
        <v>355</v>
      </c>
      <c r="D102" s="37" t="s">
        <v>60</v>
      </c>
      <c r="E102" s="13" t="s">
        <v>287</v>
      </c>
      <c r="F102" s="13" t="s">
        <v>356</v>
      </c>
      <c r="G102" s="69">
        <v>299000</v>
      </c>
      <c r="H102" s="31">
        <v>0.05</v>
      </c>
      <c r="I102" s="84">
        <f>G102*5%</f>
        <v>14950</v>
      </c>
      <c r="J102" s="92">
        <v>313950</v>
      </c>
      <c r="K102" s="93" t="s">
        <v>357</v>
      </c>
      <c r="L102" s="14" t="s">
        <v>349</v>
      </c>
      <c r="M102" s="14" t="s">
        <v>350</v>
      </c>
      <c r="N102" s="35">
        <v>20</v>
      </c>
      <c r="O102" s="13"/>
      <c r="P102" s="14"/>
      <c r="Q102" s="13"/>
      <c r="R102" s="13"/>
    </row>
    <row r="103" spans="1:18" ht="31" x14ac:dyDescent="0.35">
      <c r="A103" s="14">
        <v>91</v>
      </c>
      <c r="B103" s="94" t="s">
        <v>358</v>
      </c>
      <c r="C103" s="89" t="s">
        <v>359</v>
      </c>
      <c r="D103" s="14" t="s">
        <v>163</v>
      </c>
      <c r="E103" s="95" t="s">
        <v>360</v>
      </c>
      <c r="F103" s="88" t="s">
        <v>361</v>
      </c>
      <c r="G103" s="79">
        <v>30357</v>
      </c>
      <c r="H103" s="31">
        <v>0.05</v>
      </c>
      <c r="I103" s="84">
        <v>1518</v>
      </c>
      <c r="J103" s="92">
        <v>31875</v>
      </c>
      <c r="K103" s="93" t="s">
        <v>362</v>
      </c>
      <c r="L103" s="14" t="s">
        <v>349</v>
      </c>
      <c r="M103" s="14" t="s">
        <v>350</v>
      </c>
      <c r="N103" s="35">
        <v>1040</v>
      </c>
      <c r="O103" s="13"/>
      <c r="P103" s="14"/>
      <c r="Q103" s="13"/>
      <c r="R103" s="13"/>
    </row>
    <row r="104" spans="1:18" ht="46.5" x14ac:dyDescent="0.35">
      <c r="A104" s="14">
        <v>91</v>
      </c>
      <c r="B104" s="94" t="s">
        <v>358</v>
      </c>
      <c r="C104" s="13" t="s">
        <v>363</v>
      </c>
      <c r="D104" s="14" t="s">
        <v>168</v>
      </c>
      <c r="E104" s="96" t="s">
        <v>364</v>
      </c>
      <c r="F104" s="97" t="s">
        <v>365</v>
      </c>
      <c r="G104" s="79">
        <v>30357</v>
      </c>
      <c r="H104" s="31">
        <v>0.05</v>
      </c>
      <c r="I104" s="84">
        <v>1518</v>
      </c>
      <c r="J104" s="92">
        <v>31875</v>
      </c>
      <c r="K104" s="93" t="s">
        <v>362</v>
      </c>
      <c r="L104" s="14" t="s">
        <v>349</v>
      </c>
      <c r="M104" s="14" t="s">
        <v>350</v>
      </c>
      <c r="N104" s="35"/>
      <c r="O104" s="13"/>
      <c r="P104" s="14"/>
      <c r="Q104" s="13"/>
      <c r="R104" s="13"/>
    </row>
    <row r="105" spans="1:18" ht="31" x14ac:dyDescent="0.35">
      <c r="A105" s="14">
        <v>92</v>
      </c>
      <c r="B105" s="29" t="s">
        <v>366</v>
      </c>
      <c r="C105" s="98" t="s">
        <v>359</v>
      </c>
      <c r="D105" s="14" t="s">
        <v>163</v>
      </c>
      <c r="E105" s="95" t="s">
        <v>360</v>
      </c>
      <c r="F105" s="29" t="s">
        <v>367</v>
      </c>
      <c r="G105" s="79">
        <v>27679</v>
      </c>
      <c r="H105" s="99">
        <v>0.05</v>
      </c>
      <c r="I105" s="84">
        <f>G105*5%</f>
        <v>1383.95</v>
      </c>
      <c r="J105" s="100">
        <f>G105+I105</f>
        <v>29062.95</v>
      </c>
      <c r="K105" s="93" t="s">
        <v>368</v>
      </c>
      <c r="L105" s="90" t="s">
        <v>349</v>
      </c>
      <c r="M105" s="90" t="s">
        <v>350</v>
      </c>
      <c r="N105" s="35">
        <v>790</v>
      </c>
      <c r="O105" s="13"/>
      <c r="P105" s="14"/>
      <c r="Q105" s="13"/>
      <c r="R105" s="13"/>
    </row>
    <row r="106" spans="1:18" ht="46.5" x14ac:dyDescent="0.35">
      <c r="A106" s="14">
        <v>92</v>
      </c>
      <c r="B106" s="29" t="s">
        <v>366</v>
      </c>
      <c r="C106" s="29" t="s">
        <v>363</v>
      </c>
      <c r="D106" s="14" t="s">
        <v>168</v>
      </c>
      <c r="E106" s="96" t="s">
        <v>364</v>
      </c>
      <c r="F106" s="101" t="s">
        <v>369</v>
      </c>
      <c r="G106" s="79">
        <v>27679</v>
      </c>
      <c r="H106" s="99">
        <v>0.05</v>
      </c>
      <c r="I106" s="84">
        <f>G106*5%</f>
        <v>1383.95</v>
      </c>
      <c r="J106" s="100">
        <v>29063</v>
      </c>
      <c r="K106" s="93" t="s">
        <v>368</v>
      </c>
      <c r="L106" s="90" t="s">
        <v>349</v>
      </c>
      <c r="M106" s="90" t="s">
        <v>350</v>
      </c>
      <c r="N106" s="35"/>
      <c r="O106" s="13"/>
      <c r="P106" s="14"/>
      <c r="Q106" s="13"/>
      <c r="R106" s="13"/>
    </row>
    <row r="107" spans="1:18" ht="28" x14ac:dyDescent="0.35">
      <c r="A107" s="14">
        <v>93</v>
      </c>
      <c r="B107" s="94" t="s">
        <v>370</v>
      </c>
      <c r="C107" s="96" t="s">
        <v>371</v>
      </c>
      <c r="D107" s="14" t="s">
        <v>60</v>
      </c>
      <c r="E107" s="101" t="s">
        <v>372</v>
      </c>
      <c r="F107" s="101" t="s">
        <v>373</v>
      </c>
      <c r="G107" s="79">
        <v>5254</v>
      </c>
      <c r="H107" s="99">
        <v>0.18</v>
      </c>
      <c r="I107" s="102">
        <v>946</v>
      </c>
      <c r="J107" s="100">
        <v>6200</v>
      </c>
      <c r="K107" s="14" t="s">
        <v>20</v>
      </c>
      <c r="L107" s="90" t="s">
        <v>349</v>
      </c>
      <c r="M107" s="90" t="s">
        <v>350</v>
      </c>
      <c r="N107" s="35">
        <v>135</v>
      </c>
      <c r="O107" s="13"/>
      <c r="P107" s="14"/>
      <c r="Q107" s="13"/>
      <c r="R107" s="13"/>
    </row>
    <row r="108" spans="1:18" ht="31" x14ac:dyDescent="0.35">
      <c r="A108" s="14">
        <f>A107+1</f>
        <v>94</v>
      </c>
      <c r="B108" s="29" t="s">
        <v>374</v>
      </c>
      <c r="C108" s="29" t="s">
        <v>375</v>
      </c>
      <c r="D108" s="14" t="s">
        <v>60</v>
      </c>
      <c r="E108" s="29" t="s">
        <v>376</v>
      </c>
      <c r="F108" s="29" t="s">
        <v>377</v>
      </c>
      <c r="G108" s="79">
        <v>3870</v>
      </c>
      <c r="H108" s="99">
        <v>0.05</v>
      </c>
      <c r="I108" s="102">
        <f>G108*H108%</f>
        <v>1.9350000000000001</v>
      </c>
      <c r="J108" s="100">
        <f>G108+I108</f>
        <v>3871.9349999999999</v>
      </c>
      <c r="K108" s="14" t="s">
        <v>20</v>
      </c>
      <c r="L108" s="90" t="s">
        <v>349</v>
      </c>
      <c r="M108" s="90" t="s">
        <v>350</v>
      </c>
      <c r="N108" s="35">
        <v>540</v>
      </c>
      <c r="O108" s="13"/>
      <c r="P108" s="14"/>
      <c r="Q108" s="13"/>
      <c r="R108" s="13"/>
    </row>
    <row r="109" spans="1:18" ht="31" x14ac:dyDescent="0.35">
      <c r="A109" s="14">
        <f t="shared" ref="A109:A123" si="1">A108+1</f>
        <v>95</v>
      </c>
      <c r="B109" s="94" t="s">
        <v>378</v>
      </c>
      <c r="C109" s="29" t="s">
        <v>379</v>
      </c>
      <c r="D109" s="14" t="s">
        <v>60</v>
      </c>
      <c r="E109" s="29" t="s">
        <v>380</v>
      </c>
      <c r="F109" s="29" t="s">
        <v>381</v>
      </c>
      <c r="G109" s="79">
        <v>14300</v>
      </c>
      <c r="H109" s="99">
        <v>0.18</v>
      </c>
      <c r="I109" s="84">
        <f>G109*5%</f>
        <v>715</v>
      </c>
      <c r="J109" s="103">
        <f>G109*18%+14300</f>
        <v>16874</v>
      </c>
      <c r="K109" s="14" t="s">
        <v>20</v>
      </c>
      <c r="L109" s="90" t="s">
        <v>349</v>
      </c>
      <c r="M109" s="90" t="s">
        <v>350</v>
      </c>
      <c r="N109" s="35">
        <v>254</v>
      </c>
      <c r="O109" s="13"/>
      <c r="P109" s="14"/>
      <c r="Q109" s="13"/>
      <c r="R109" s="13"/>
    </row>
    <row r="110" spans="1:18" ht="31" x14ac:dyDescent="0.35">
      <c r="A110" s="14">
        <f t="shared" si="1"/>
        <v>96</v>
      </c>
      <c r="B110" s="88" t="s">
        <v>382</v>
      </c>
      <c r="C110" s="101" t="s">
        <v>383</v>
      </c>
      <c r="D110" s="14" t="s">
        <v>60</v>
      </c>
      <c r="E110" s="29" t="s">
        <v>287</v>
      </c>
      <c r="F110" s="29" t="s">
        <v>384</v>
      </c>
      <c r="G110" s="30">
        <v>124000</v>
      </c>
      <c r="H110" s="99">
        <v>0.05</v>
      </c>
      <c r="I110" s="104">
        <v>6200</v>
      </c>
      <c r="J110" s="103">
        <v>130200</v>
      </c>
      <c r="K110" s="67">
        <v>24800</v>
      </c>
      <c r="L110" s="90" t="s">
        <v>349</v>
      </c>
      <c r="M110" s="90" t="s">
        <v>350</v>
      </c>
      <c r="N110" s="35"/>
      <c r="O110" s="13"/>
      <c r="P110" s="14"/>
      <c r="Q110" s="13"/>
      <c r="R110" s="13"/>
    </row>
    <row r="111" spans="1:18" ht="31" x14ac:dyDescent="0.35">
      <c r="A111" s="14">
        <f t="shared" si="1"/>
        <v>97</v>
      </c>
      <c r="B111" s="89" t="s">
        <v>385</v>
      </c>
      <c r="C111" s="29" t="s">
        <v>386</v>
      </c>
      <c r="D111" s="14" t="s">
        <v>60</v>
      </c>
      <c r="E111" s="29" t="s">
        <v>387</v>
      </c>
      <c r="F111" s="29" t="s">
        <v>388</v>
      </c>
      <c r="G111" s="30">
        <v>9237857</v>
      </c>
      <c r="H111" s="99">
        <v>0.05</v>
      </c>
      <c r="I111" s="35">
        <v>461893</v>
      </c>
      <c r="J111" s="103">
        <v>9699750</v>
      </c>
      <c r="K111" s="36">
        <v>1818934</v>
      </c>
      <c r="L111" s="90" t="s">
        <v>349</v>
      </c>
      <c r="M111" s="90" t="s">
        <v>350</v>
      </c>
      <c r="N111" s="35"/>
      <c r="O111" s="13"/>
      <c r="P111" s="14"/>
      <c r="Q111" s="13"/>
      <c r="R111" s="13"/>
    </row>
    <row r="112" spans="1:18" ht="31" x14ac:dyDescent="0.35">
      <c r="A112" s="14">
        <f t="shared" si="1"/>
        <v>98</v>
      </c>
      <c r="B112" s="89" t="s">
        <v>389</v>
      </c>
      <c r="C112" s="98" t="s">
        <v>390</v>
      </c>
      <c r="D112" s="14" t="s">
        <v>60</v>
      </c>
      <c r="E112" s="95" t="s">
        <v>391</v>
      </c>
      <c r="F112" s="29" t="s">
        <v>392</v>
      </c>
      <c r="G112" s="30">
        <v>16000</v>
      </c>
      <c r="H112" s="99">
        <v>0.05</v>
      </c>
      <c r="I112" s="84">
        <v>800</v>
      </c>
      <c r="J112" s="100">
        <v>16800</v>
      </c>
      <c r="K112" s="14" t="s">
        <v>20</v>
      </c>
      <c r="L112" s="90" t="s">
        <v>349</v>
      </c>
      <c r="M112" s="90" t="s">
        <v>350</v>
      </c>
      <c r="N112" s="35">
        <v>1</v>
      </c>
      <c r="O112" s="13"/>
      <c r="P112" s="14"/>
      <c r="Q112" s="13"/>
      <c r="R112" s="13"/>
    </row>
    <row r="113" spans="1:18" ht="28" x14ac:dyDescent="0.35">
      <c r="A113" s="14">
        <f t="shared" si="1"/>
        <v>99</v>
      </c>
      <c r="B113" s="68" t="s">
        <v>393</v>
      </c>
      <c r="C113" s="98" t="s">
        <v>390</v>
      </c>
      <c r="D113" s="14" t="s">
        <v>60</v>
      </c>
      <c r="E113" s="95" t="s">
        <v>391</v>
      </c>
      <c r="F113" s="95" t="s">
        <v>394</v>
      </c>
      <c r="G113" s="79">
        <v>24000</v>
      </c>
      <c r="H113" s="99">
        <v>0.05</v>
      </c>
      <c r="I113" s="84">
        <v>1200</v>
      </c>
      <c r="J113" s="100">
        <v>25200</v>
      </c>
      <c r="K113" s="82">
        <v>4160</v>
      </c>
      <c r="L113" s="90" t="s">
        <v>349</v>
      </c>
      <c r="M113" s="90" t="s">
        <v>350</v>
      </c>
      <c r="N113" s="35"/>
      <c r="O113" s="13"/>
      <c r="P113" s="14"/>
      <c r="Q113" s="13"/>
      <c r="R113" s="13"/>
    </row>
    <row r="114" spans="1:18" ht="28" x14ac:dyDescent="0.35">
      <c r="A114" s="14">
        <f t="shared" si="1"/>
        <v>100</v>
      </c>
      <c r="B114" s="29" t="s">
        <v>395</v>
      </c>
      <c r="C114" s="98" t="s">
        <v>390</v>
      </c>
      <c r="D114" s="14" t="s">
        <v>60</v>
      </c>
      <c r="E114" s="95" t="s">
        <v>391</v>
      </c>
      <c r="F114" s="95" t="s">
        <v>396</v>
      </c>
      <c r="G114" s="79">
        <v>68571</v>
      </c>
      <c r="H114" s="99">
        <v>0.05</v>
      </c>
      <c r="I114" s="84">
        <v>3429</v>
      </c>
      <c r="J114" s="100">
        <v>72000</v>
      </c>
      <c r="K114" s="105">
        <v>17829</v>
      </c>
      <c r="L114" s="90" t="s">
        <v>349</v>
      </c>
      <c r="M114" s="90" t="s">
        <v>350</v>
      </c>
      <c r="N114" s="35"/>
      <c r="O114" s="13"/>
      <c r="P114" s="14"/>
      <c r="Q114" s="13"/>
      <c r="R114" s="13"/>
    </row>
    <row r="115" spans="1:18" ht="31" x14ac:dyDescent="0.35">
      <c r="A115" s="14">
        <f t="shared" si="1"/>
        <v>101</v>
      </c>
      <c r="B115" s="29" t="s">
        <v>397</v>
      </c>
      <c r="C115" s="29" t="s">
        <v>390</v>
      </c>
      <c r="D115" s="14" t="s">
        <v>60</v>
      </c>
      <c r="E115" s="29" t="s">
        <v>391</v>
      </c>
      <c r="F115" s="29" t="s">
        <v>398</v>
      </c>
      <c r="G115" s="79">
        <v>6857</v>
      </c>
      <c r="H115" s="70">
        <v>0.05</v>
      </c>
      <c r="I115" s="102">
        <v>343</v>
      </c>
      <c r="J115" s="100">
        <v>7200</v>
      </c>
      <c r="K115" s="36">
        <v>1783</v>
      </c>
      <c r="L115" s="90" t="s">
        <v>349</v>
      </c>
      <c r="M115" s="90" t="s">
        <v>350</v>
      </c>
      <c r="N115" s="35"/>
      <c r="O115" s="13"/>
      <c r="P115" s="14"/>
      <c r="Q115" s="13"/>
      <c r="R115" s="13"/>
    </row>
    <row r="116" spans="1:18" ht="31" x14ac:dyDescent="0.35">
      <c r="A116" s="14">
        <f t="shared" si="1"/>
        <v>102</v>
      </c>
      <c r="B116" s="29" t="s">
        <v>399</v>
      </c>
      <c r="C116" s="29" t="s">
        <v>390</v>
      </c>
      <c r="D116" s="14" t="s">
        <v>60</v>
      </c>
      <c r="E116" s="29" t="s">
        <v>391</v>
      </c>
      <c r="F116" s="29" t="s">
        <v>400</v>
      </c>
      <c r="G116" s="30">
        <v>71</v>
      </c>
      <c r="H116" s="70">
        <v>0.05</v>
      </c>
      <c r="I116" s="102">
        <v>4</v>
      </c>
      <c r="J116" s="106">
        <v>75</v>
      </c>
      <c r="K116" s="107" t="s">
        <v>20</v>
      </c>
      <c r="L116" s="90" t="s">
        <v>349</v>
      </c>
      <c r="M116" s="90" t="s">
        <v>350</v>
      </c>
      <c r="N116" s="35"/>
      <c r="O116" s="13"/>
      <c r="P116" s="14"/>
      <c r="Q116" s="13"/>
      <c r="R116" s="13"/>
    </row>
    <row r="117" spans="1:18" ht="31" x14ac:dyDescent="0.35">
      <c r="A117" s="14">
        <f t="shared" si="1"/>
        <v>103</v>
      </c>
      <c r="B117" s="29" t="s">
        <v>401</v>
      </c>
      <c r="C117" s="29" t="s">
        <v>390</v>
      </c>
      <c r="D117" s="14" t="s">
        <v>60</v>
      </c>
      <c r="E117" s="29" t="s">
        <v>391</v>
      </c>
      <c r="F117" s="29"/>
      <c r="G117" s="79">
        <v>2200</v>
      </c>
      <c r="H117" s="70">
        <v>0.05</v>
      </c>
      <c r="I117" s="102">
        <v>110</v>
      </c>
      <c r="J117" s="100">
        <v>2310</v>
      </c>
      <c r="K117" s="14">
        <v>572</v>
      </c>
      <c r="L117" s="90" t="s">
        <v>349</v>
      </c>
      <c r="M117" s="90" t="s">
        <v>350</v>
      </c>
      <c r="N117" s="35"/>
      <c r="O117" s="13"/>
      <c r="P117" s="14"/>
      <c r="Q117" s="13"/>
      <c r="R117" s="13"/>
    </row>
    <row r="118" spans="1:18" ht="31" x14ac:dyDescent="0.35">
      <c r="A118" s="14">
        <f t="shared" si="1"/>
        <v>104</v>
      </c>
      <c r="B118" s="29" t="s">
        <v>402</v>
      </c>
      <c r="C118" s="29" t="s">
        <v>390</v>
      </c>
      <c r="D118" s="14" t="s">
        <v>60</v>
      </c>
      <c r="E118" s="29" t="s">
        <v>391</v>
      </c>
      <c r="F118" s="29"/>
      <c r="G118" s="79">
        <v>6000</v>
      </c>
      <c r="H118" s="108">
        <v>0.05</v>
      </c>
      <c r="I118" s="109">
        <v>300</v>
      </c>
      <c r="J118" s="100">
        <v>6300</v>
      </c>
      <c r="K118" s="14">
        <v>1560</v>
      </c>
      <c r="L118" s="90" t="s">
        <v>349</v>
      </c>
      <c r="M118" s="90" t="s">
        <v>350</v>
      </c>
      <c r="N118" s="35"/>
      <c r="O118" s="13"/>
      <c r="P118" s="14"/>
      <c r="Q118" s="13"/>
      <c r="R118" s="13"/>
    </row>
    <row r="119" spans="1:18" ht="31" x14ac:dyDescent="0.35">
      <c r="A119" s="14">
        <f t="shared" si="1"/>
        <v>105</v>
      </c>
      <c r="B119" s="98" t="s">
        <v>403</v>
      </c>
      <c r="C119" s="29" t="s">
        <v>390</v>
      </c>
      <c r="D119" s="14" t="s">
        <v>60</v>
      </c>
      <c r="E119" s="29" t="s">
        <v>391</v>
      </c>
      <c r="F119" s="95" t="s">
        <v>404</v>
      </c>
      <c r="G119" s="79">
        <v>12571</v>
      </c>
      <c r="H119" s="70">
        <v>0.05</v>
      </c>
      <c r="I119" s="102">
        <v>629</v>
      </c>
      <c r="J119" s="100">
        <v>13200</v>
      </c>
      <c r="K119" s="82">
        <v>3269</v>
      </c>
      <c r="L119" s="90" t="s">
        <v>349</v>
      </c>
      <c r="M119" s="90" t="s">
        <v>350</v>
      </c>
      <c r="N119" s="35"/>
      <c r="O119" s="13"/>
      <c r="P119" s="14"/>
      <c r="Q119" s="13"/>
      <c r="R119" s="13"/>
    </row>
    <row r="120" spans="1:18" ht="31" x14ac:dyDescent="0.35">
      <c r="A120" s="14">
        <f t="shared" si="1"/>
        <v>106</v>
      </c>
      <c r="B120" s="89" t="s">
        <v>405</v>
      </c>
      <c r="C120" s="29" t="s">
        <v>390</v>
      </c>
      <c r="D120" s="14" t="s">
        <v>60</v>
      </c>
      <c r="E120" s="95" t="s">
        <v>391</v>
      </c>
      <c r="F120" s="95" t="s">
        <v>406</v>
      </c>
      <c r="G120" s="79">
        <v>6857</v>
      </c>
      <c r="H120" s="70">
        <v>0.05</v>
      </c>
      <c r="I120" s="102">
        <v>343</v>
      </c>
      <c r="J120" s="100">
        <v>7200</v>
      </c>
      <c r="K120" s="82">
        <v>1783</v>
      </c>
      <c r="L120" s="90" t="s">
        <v>349</v>
      </c>
      <c r="M120" s="90" t="s">
        <v>350</v>
      </c>
      <c r="N120" s="35"/>
      <c r="O120" s="13"/>
      <c r="P120" s="14"/>
      <c r="Q120" s="13"/>
      <c r="R120" s="13"/>
    </row>
    <row r="121" spans="1:18" ht="31" x14ac:dyDescent="0.35">
      <c r="A121" s="14">
        <f t="shared" si="1"/>
        <v>107</v>
      </c>
      <c r="B121" s="29" t="s">
        <v>407</v>
      </c>
      <c r="C121" s="29" t="s">
        <v>390</v>
      </c>
      <c r="D121" s="14" t="s">
        <v>60</v>
      </c>
      <c r="E121" s="95" t="s">
        <v>391</v>
      </c>
      <c r="F121" s="29" t="s">
        <v>408</v>
      </c>
      <c r="G121" s="83">
        <v>190</v>
      </c>
      <c r="H121" s="70">
        <v>0.05</v>
      </c>
      <c r="I121" s="102">
        <v>10</v>
      </c>
      <c r="J121" s="106">
        <v>200</v>
      </c>
      <c r="K121" s="14" t="s">
        <v>20</v>
      </c>
      <c r="L121" s="90" t="s">
        <v>349</v>
      </c>
      <c r="M121" s="90" t="s">
        <v>350</v>
      </c>
      <c r="N121" s="35"/>
      <c r="O121" s="13"/>
      <c r="P121" s="14"/>
      <c r="Q121" s="13"/>
      <c r="R121" s="13"/>
    </row>
    <row r="122" spans="1:18" ht="31" x14ac:dyDescent="0.35">
      <c r="A122" s="14">
        <f t="shared" si="1"/>
        <v>108</v>
      </c>
      <c r="B122" s="29" t="s">
        <v>409</v>
      </c>
      <c r="C122" s="29" t="s">
        <v>390</v>
      </c>
      <c r="D122" s="14" t="s">
        <v>60</v>
      </c>
      <c r="E122" s="95" t="s">
        <v>391</v>
      </c>
      <c r="F122" s="29" t="s">
        <v>410</v>
      </c>
      <c r="G122" s="83">
        <v>248</v>
      </c>
      <c r="H122" s="70">
        <v>0.05</v>
      </c>
      <c r="I122" s="102">
        <v>12</v>
      </c>
      <c r="J122" s="106">
        <v>260</v>
      </c>
      <c r="K122" s="14">
        <v>64</v>
      </c>
      <c r="L122" s="90" t="s">
        <v>349</v>
      </c>
      <c r="M122" s="90" t="s">
        <v>350</v>
      </c>
      <c r="N122" s="35"/>
      <c r="O122" s="13"/>
      <c r="P122" s="14"/>
      <c r="Q122" s="13"/>
      <c r="R122" s="13"/>
    </row>
    <row r="123" spans="1:18" ht="31" x14ac:dyDescent="0.35">
      <c r="A123" s="14">
        <f t="shared" si="1"/>
        <v>109</v>
      </c>
      <c r="B123" s="29" t="s">
        <v>411</v>
      </c>
      <c r="C123" s="29" t="s">
        <v>412</v>
      </c>
      <c r="D123" s="14" t="s">
        <v>60</v>
      </c>
      <c r="E123" s="29" t="s">
        <v>413</v>
      </c>
      <c r="F123" s="29" t="s">
        <v>414</v>
      </c>
      <c r="G123" s="79">
        <v>112378240</v>
      </c>
      <c r="H123" s="76">
        <v>0.05</v>
      </c>
      <c r="I123" s="84">
        <v>5618912</v>
      </c>
      <c r="J123" s="74">
        <v>125400000</v>
      </c>
      <c r="K123" s="36">
        <v>43175220</v>
      </c>
      <c r="L123" s="90" t="s">
        <v>349</v>
      </c>
      <c r="M123" s="90" t="s">
        <v>350</v>
      </c>
      <c r="N123" s="35"/>
      <c r="O123" s="13"/>
      <c r="P123" s="14"/>
      <c r="Q123" s="13"/>
      <c r="R123" s="13"/>
    </row>
    <row r="124" spans="1:18" ht="46.5" x14ac:dyDescent="0.35">
      <c r="A124" s="14">
        <v>110</v>
      </c>
      <c r="B124" s="29" t="s">
        <v>415</v>
      </c>
      <c r="C124" s="13" t="s">
        <v>416</v>
      </c>
      <c r="D124" s="14" t="s">
        <v>60</v>
      </c>
      <c r="E124" s="13" t="s">
        <v>417</v>
      </c>
      <c r="F124" s="13" t="s">
        <v>418</v>
      </c>
      <c r="G124" s="30">
        <v>25660000</v>
      </c>
      <c r="H124" s="76">
        <v>0.05</v>
      </c>
      <c r="I124" s="30">
        <v>1283000</v>
      </c>
      <c r="J124" s="32" t="s">
        <v>419</v>
      </c>
      <c r="K124" s="36">
        <v>10135700</v>
      </c>
      <c r="L124" s="33" t="s">
        <v>420</v>
      </c>
      <c r="M124" s="110" t="s">
        <v>421</v>
      </c>
      <c r="N124" s="35"/>
      <c r="O124" s="13"/>
      <c r="P124" s="14"/>
      <c r="Q124" s="13"/>
      <c r="R124" s="13"/>
    </row>
    <row r="125" spans="1:18" ht="31" x14ac:dyDescent="0.35">
      <c r="A125" s="14">
        <f>A124+1</f>
        <v>111</v>
      </c>
      <c r="B125" s="29" t="s">
        <v>32</v>
      </c>
      <c r="C125" s="13" t="s">
        <v>219</v>
      </c>
      <c r="D125" s="14" t="s">
        <v>60</v>
      </c>
      <c r="E125" s="13" t="s">
        <v>422</v>
      </c>
      <c r="F125" s="13" t="s">
        <v>423</v>
      </c>
      <c r="G125" s="30">
        <v>986666</v>
      </c>
      <c r="H125" s="76">
        <v>0.05</v>
      </c>
      <c r="I125" s="30">
        <v>49333</v>
      </c>
      <c r="J125" s="32">
        <v>1035999</v>
      </c>
      <c r="K125" s="36">
        <v>148000</v>
      </c>
      <c r="L125" s="33" t="s">
        <v>420</v>
      </c>
      <c r="M125" s="110" t="s">
        <v>421</v>
      </c>
      <c r="N125" s="35"/>
      <c r="O125" s="13"/>
      <c r="P125" s="14"/>
      <c r="Q125" s="13"/>
      <c r="R125" s="13"/>
    </row>
    <row r="126" spans="1:18" ht="31" x14ac:dyDescent="0.35">
      <c r="A126" s="14">
        <f t="shared" ref="A126:A135" si="2">A125+1</f>
        <v>112</v>
      </c>
      <c r="B126" s="29" t="s">
        <v>32</v>
      </c>
      <c r="C126" s="13" t="s">
        <v>424</v>
      </c>
      <c r="D126" s="14" t="s">
        <v>168</v>
      </c>
      <c r="E126" s="13" t="s">
        <v>425</v>
      </c>
      <c r="F126" s="13" t="s">
        <v>426</v>
      </c>
      <c r="G126" s="30">
        <v>1094285</v>
      </c>
      <c r="H126" s="31">
        <v>0.05</v>
      </c>
      <c r="I126" s="30">
        <v>54714</v>
      </c>
      <c r="J126" s="32">
        <v>1148999</v>
      </c>
      <c r="K126" s="36">
        <v>218857</v>
      </c>
      <c r="L126" s="33" t="s">
        <v>420</v>
      </c>
      <c r="M126" s="110" t="s">
        <v>421</v>
      </c>
      <c r="N126" s="35"/>
      <c r="O126" s="13"/>
      <c r="P126" s="14"/>
      <c r="Q126" s="13"/>
      <c r="R126" s="13"/>
    </row>
    <row r="127" spans="1:18" ht="46.5" x14ac:dyDescent="0.35">
      <c r="A127" s="14">
        <v>112</v>
      </c>
      <c r="B127" s="29" t="s">
        <v>25</v>
      </c>
      <c r="C127" s="13" t="s">
        <v>424</v>
      </c>
      <c r="D127" s="14" t="s">
        <v>60</v>
      </c>
      <c r="E127" s="13" t="s">
        <v>427</v>
      </c>
      <c r="F127" s="13" t="s">
        <v>428</v>
      </c>
      <c r="G127" s="30">
        <v>112278</v>
      </c>
      <c r="H127" s="31">
        <v>0.18</v>
      </c>
      <c r="I127" s="30">
        <v>20210</v>
      </c>
      <c r="J127" s="32">
        <v>132488</v>
      </c>
      <c r="K127" s="14" t="s">
        <v>20</v>
      </c>
      <c r="L127" s="33" t="s">
        <v>420</v>
      </c>
      <c r="M127" s="110" t="s">
        <v>421</v>
      </c>
      <c r="N127" s="35"/>
      <c r="O127" s="13"/>
      <c r="P127" s="14"/>
      <c r="Q127" s="13"/>
      <c r="R127" s="13"/>
    </row>
    <row r="128" spans="1:18" ht="46.5" x14ac:dyDescent="0.35">
      <c r="A128" s="14">
        <f t="shared" si="2"/>
        <v>113</v>
      </c>
      <c r="B128" s="29" t="s">
        <v>25</v>
      </c>
      <c r="C128" s="13" t="s">
        <v>219</v>
      </c>
      <c r="D128" s="14" t="s">
        <v>168</v>
      </c>
      <c r="E128" s="13" t="s">
        <v>429</v>
      </c>
      <c r="F128" s="13" t="s">
        <v>430</v>
      </c>
      <c r="G128" s="30">
        <v>117000</v>
      </c>
      <c r="H128" s="31">
        <v>0.18</v>
      </c>
      <c r="I128" s="30">
        <v>21060</v>
      </c>
      <c r="J128" s="32">
        <v>138060</v>
      </c>
      <c r="K128" s="14" t="s">
        <v>20</v>
      </c>
      <c r="L128" s="33" t="s">
        <v>420</v>
      </c>
      <c r="M128" s="110" t="s">
        <v>421</v>
      </c>
      <c r="N128" s="35"/>
      <c r="O128" s="13"/>
      <c r="P128" s="14"/>
      <c r="Q128" s="13"/>
      <c r="R128" s="13"/>
    </row>
    <row r="129" spans="1:18" ht="31" x14ac:dyDescent="0.35">
      <c r="A129" s="14">
        <f t="shared" si="2"/>
        <v>114</v>
      </c>
      <c r="B129" s="29" t="s">
        <v>431</v>
      </c>
      <c r="C129" s="13" t="s">
        <v>424</v>
      </c>
      <c r="D129" s="14" t="s">
        <v>60</v>
      </c>
      <c r="E129" s="13" t="s">
        <v>427</v>
      </c>
      <c r="F129" s="13" t="s">
        <v>428</v>
      </c>
      <c r="G129" s="30">
        <v>88888</v>
      </c>
      <c r="H129" s="31">
        <v>0.18</v>
      </c>
      <c r="I129" s="30">
        <f>G129*H129</f>
        <v>15999.84</v>
      </c>
      <c r="J129" s="32">
        <f>G129+I129</f>
        <v>104887.84</v>
      </c>
      <c r="K129" s="36">
        <v>17778</v>
      </c>
      <c r="L129" s="33" t="s">
        <v>420</v>
      </c>
      <c r="M129" s="110" t="s">
        <v>421</v>
      </c>
      <c r="N129" s="35"/>
      <c r="O129" s="13"/>
      <c r="P129" s="14"/>
      <c r="Q129" s="13"/>
      <c r="R129" s="13"/>
    </row>
    <row r="130" spans="1:18" ht="31" x14ac:dyDescent="0.35">
      <c r="A130" s="14">
        <f t="shared" si="2"/>
        <v>115</v>
      </c>
      <c r="B130" s="29" t="s">
        <v>431</v>
      </c>
      <c r="C130" s="13" t="s">
        <v>219</v>
      </c>
      <c r="D130" s="14" t="s">
        <v>168</v>
      </c>
      <c r="E130" s="13" t="s">
        <v>429</v>
      </c>
      <c r="F130" s="13" t="s">
        <v>432</v>
      </c>
      <c r="G130" s="30">
        <v>94500</v>
      </c>
      <c r="H130" s="31">
        <v>0.18</v>
      </c>
      <c r="I130" s="30">
        <v>17010</v>
      </c>
      <c r="J130" s="32">
        <v>111510</v>
      </c>
      <c r="K130" s="36">
        <v>15120</v>
      </c>
      <c r="L130" s="33" t="s">
        <v>420</v>
      </c>
      <c r="M130" s="110" t="s">
        <v>421</v>
      </c>
      <c r="N130" s="35"/>
      <c r="O130" s="13"/>
      <c r="P130" s="14"/>
      <c r="Q130" s="13"/>
      <c r="R130" s="13"/>
    </row>
    <row r="131" spans="1:18" ht="31" x14ac:dyDescent="0.35">
      <c r="A131" s="14">
        <f t="shared" si="2"/>
        <v>116</v>
      </c>
      <c r="B131" s="29" t="s">
        <v>433</v>
      </c>
      <c r="C131" s="13" t="s">
        <v>219</v>
      </c>
      <c r="D131" s="111" t="s">
        <v>60</v>
      </c>
      <c r="E131" s="13" t="s">
        <v>429</v>
      </c>
      <c r="F131" s="13" t="s">
        <v>434</v>
      </c>
      <c r="G131" s="30">
        <v>153000</v>
      </c>
      <c r="H131" s="31">
        <v>0.05</v>
      </c>
      <c r="I131" s="30">
        <v>7650</v>
      </c>
      <c r="J131" s="32">
        <v>160650</v>
      </c>
      <c r="K131" s="36">
        <v>24480</v>
      </c>
      <c r="L131" s="33" t="s">
        <v>420</v>
      </c>
      <c r="M131" s="110" t="s">
        <v>421</v>
      </c>
      <c r="N131" s="35"/>
      <c r="O131" s="13"/>
      <c r="P131" s="14"/>
      <c r="Q131" s="13"/>
      <c r="R131" s="13"/>
    </row>
    <row r="132" spans="1:18" ht="31" x14ac:dyDescent="0.35">
      <c r="A132" s="14">
        <f t="shared" si="2"/>
        <v>117</v>
      </c>
      <c r="B132" s="29" t="s">
        <v>435</v>
      </c>
      <c r="C132" s="13" t="s">
        <v>436</v>
      </c>
      <c r="D132" s="111" t="s">
        <v>60</v>
      </c>
      <c r="E132" s="13" t="s">
        <v>437</v>
      </c>
      <c r="F132" s="13" t="s">
        <v>438</v>
      </c>
      <c r="G132" s="30">
        <v>144000</v>
      </c>
      <c r="H132" s="31">
        <v>0.18</v>
      </c>
      <c r="I132" s="30">
        <v>29920</v>
      </c>
      <c r="J132" s="32">
        <v>169920</v>
      </c>
      <c r="K132" s="36">
        <v>28800</v>
      </c>
      <c r="L132" s="33" t="s">
        <v>420</v>
      </c>
      <c r="M132" s="110" t="s">
        <v>421</v>
      </c>
      <c r="N132" s="35"/>
      <c r="O132" s="13"/>
      <c r="P132" s="14"/>
      <c r="Q132" s="13"/>
      <c r="R132" s="13"/>
    </row>
    <row r="133" spans="1:18" ht="31" x14ac:dyDescent="0.35">
      <c r="A133" s="14">
        <f t="shared" si="2"/>
        <v>118</v>
      </c>
      <c r="B133" s="29" t="s">
        <v>439</v>
      </c>
      <c r="C133" s="13" t="s">
        <v>436</v>
      </c>
      <c r="D133" s="111" t="s">
        <v>60</v>
      </c>
      <c r="E133" s="13" t="s">
        <v>437</v>
      </c>
      <c r="F133" s="13" t="s">
        <v>440</v>
      </c>
      <c r="G133" s="30">
        <v>6400</v>
      </c>
      <c r="H133" s="31">
        <v>0.05</v>
      </c>
      <c r="I133" s="30">
        <v>320</v>
      </c>
      <c r="J133" s="32">
        <v>6720</v>
      </c>
      <c r="K133" s="14" t="s">
        <v>20</v>
      </c>
      <c r="L133" s="33" t="s">
        <v>420</v>
      </c>
      <c r="M133" s="110" t="s">
        <v>421</v>
      </c>
      <c r="N133" s="35"/>
      <c r="O133" s="13"/>
      <c r="P133" s="14"/>
      <c r="Q133" s="13"/>
      <c r="R133" s="13"/>
    </row>
    <row r="134" spans="1:18" ht="31" x14ac:dyDescent="0.35">
      <c r="A134" s="14">
        <f t="shared" si="2"/>
        <v>119</v>
      </c>
      <c r="B134" s="29" t="s">
        <v>441</v>
      </c>
      <c r="C134" s="13" t="s">
        <v>436</v>
      </c>
      <c r="D134" s="111" t="s">
        <v>60</v>
      </c>
      <c r="E134" s="13" t="s">
        <v>437</v>
      </c>
      <c r="F134" s="13" t="s">
        <v>438</v>
      </c>
      <c r="G134" s="30">
        <v>44800</v>
      </c>
      <c r="H134" s="31">
        <v>0.05</v>
      </c>
      <c r="I134" s="30">
        <v>2240</v>
      </c>
      <c r="J134" s="32">
        <v>47040</v>
      </c>
      <c r="K134" s="14" t="s">
        <v>20</v>
      </c>
      <c r="L134" s="33" t="s">
        <v>420</v>
      </c>
      <c r="M134" s="110" t="s">
        <v>421</v>
      </c>
      <c r="N134" s="35"/>
      <c r="O134" s="13"/>
      <c r="P134" s="14"/>
      <c r="Q134" s="13"/>
      <c r="R134" s="13"/>
    </row>
    <row r="135" spans="1:18" ht="31" x14ac:dyDescent="0.35">
      <c r="A135" s="14">
        <f t="shared" si="2"/>
        <v>120</v>
      </c>
      <c r="B135" s="29" t="s">
        <v>442</v>
      </c>
      <c r="C135" s="13" t="s">
        <v>436</v>
      </c>
      <c r="D135" s="111" t="s">
        <v>60</v>
      </c>
      <c r="E135" s="13" t="s">
        <v>437</v>
      </c>
      <c r="F135" s="13" t="s">
        <v>438</v>
      </c>
      <c r="G135" s="30">
        <v>3200</v>
      </c>
      <c r="H135" s="31">
        <v>0.05</v>
      </c>
      <c r="I135" s="30">
        <v>160</v>
      </c>
      <c r="J135" s="32">
        <v>3360</v>
      </c>
      <c r="K135" s="14" t="s">
        <v>20</v>
      </c>
      <c r="L135" s="33" t="s">
        <v>420</v>
      </c>
      <c r="M135" s="110" t="s">
        <v>421</v>
      </c>
      <c r="N135" s="35"/>
      <c r="O135" s="13"/>
      <c r="P135" s="14"/>
      <c r="Q135" s="13"/>
      <c r="R135" s="13"/>
    </row>
    <row r="136" spans="1:18" ht="84.75" customHeight="1" x14ac:dyDescent="0.35">
      <c r="A136" s="14">
        <v>121</v>
      </c>
      <c r="B136" s="29" t="s">
        <v>130</v>
      </c>
      <c r="C136" s="13" t="s">
        <v>443</v>
      </c>
      <c r="D136" s="14" t="s">
        <v>60</v>
      </c>
      <c r="E136" s="13" t="s">
        <v>132</v>
      </c>
      <c r="F136" s="13" t="s">
        <v>444</v>
      </c>
      <c r="G136" s="30">
        <v>280</v>
      </c>
      <c r="H136" s="31">
        <v>0.05</v>
      </c>
      <c r="I136" s="30">
        <v>14</v>
      </c>
      <c r="J136" s="32">
        <v>294</v>
      </c>
      <c r="K136" s="14" t="s">
        <v>20</v>
      </c>
      <c r="L136" s="33" t="s">
        <v>445</v>
      </c>
      <c r="M136" s="33" t="s">
        <v>446</v>
      </c>
      <c r="N136" s="35"/>
      <c r="O136" s="13"/>
      <c r="P136" s="14"/>
      <c r="Q136" s="13"/>
      <c r="R136" s="13"/>
    </row>
    <row r="137" spans="1:18" ht="31" x14ac:dyDescent="0.35">
      <c r="A137" s="14">
        <v>122</v>
      </c>
      <c r="B137" s="29" t="s">
        <v>130</v>
      </c>
      <c r="C137" s="13" t="s">
        <v>447</v>
      </c>
      <c r="D137" s="14" t="s">
        <v>168</v>
      </c>
      <c r="E137" s="13" t="s">
        <v>448</v>
      </c>
      <c r="F137" s="13" t="s">
        <v>449</v>
      </c>
      <c r="G137" s="30">
        <v>280</v>
      </c>
      <c r="H137" s="31">
        <v>0.05</v>
      </c>
      <c r="I137" s="30">
        <v>14</v>
      </c>
      <c r="J137" s="32">
        <v>294</v>
      </c>
      <c r="K137" s="14" t="s">
        <v>20</v>
      </c>
      <c r="L137" s="33" t="s">
        <v>445</v>
      </c>
      <c r="M137" s="33" t="s">
        <v>446</v>
      </c>
      <c r="N137" s="35"/>
      <c r="O137" s="13"/>
      <c r="P137" s="14"/>
      <c r="Q137" s="13"/>
      <c r="R137" s="13"/>
    </row>
    <row r="138" spans="1:18" ht="26" x14ac:dyDescent="0.35">
      <c r="A138" s="14">
        <v>123</v>
      </c>
      <c r="B138" s="112" t="s">
        <v>450</v>
      </c>
      <c r="C138" s="112" t="s">
        <v>451</v>
      </c>
      <c r="D138" s="111" t="s">
        <v>60</v>
      </c>
      <c r="E138" s="13"/>
      <c r="F138" s="13"/>
      <c r="G138" s="30">
        <v>2666799</v>
      </c>
      <c r="H138" s="31">
        <v>0.05</v>
      </c>
      <c r="I138" s="30">
        <v>133340</v>
      </c>
      <c r="J138" s="32">
        <v>2800139</v>
      </c>
      <c r="K138" s="35">
        <v>493358</v>
      </c>
      <c r="L138" s="33" t="s">
        <v>445</v>
      </c>
      <c r="M138" s="33" t="s">
        <v>446</v>
      </c>
      <c r="N138" s="35"/>
      <c r="O138" s="13"/>
      <c r="P138" s="14"/>
      <c r="Q138" s="13"/>
      <c r="R138" s="13"/>
    </row>
    <row r="139" spans="1:18" ht="62" x14ac:dyDescent="0.35">
      <c r="A139" s="14">
        <v>124</v>
      </c>
      <c r="B139" s="29" t="s">
        <v>452</v>
      </c>
      <c r="C139" s="13" t="s">
        <v>453</v>
      </c>
      <c r="D139" s="111" t="s">
        <v>60</v>
      </c>
      <c r="E139" s="13" t="s">
        <v>454</v>
      </c>
      <c r="F139" s="13" t="s">
        <v>455</v>
      </c>
      <c r="G139" s="30">
        <v>16625030</v>
      </c>
      <c r="H139" s="31">
        <v>0.05</v>
      </c>
      <c r="I139" s="113">
        <v>831251.5</v>
      </c>
      <c r="J139" s="114">
        <v>17456281.5</v>
      </c>
      <c r="K139" s="14">
        <v>1330002</v>
      </c>
      <c r="L139" s="33" t="s">
        <v>445</v>
      </c>
      <c r="M139" s="33" t="s">
        <v>446</v>
      </c>
      <c r="N139" s="35"/>
      <c r="O139" s="13"/>
      <c r="P139" s="14"/>
      <c r="Q139" s="13"/>
      <c r="R139" s="13"/>
    </row>
    <row r="140" spans="1:18" ht="31" x14ac:dyDescent="0.35">
      <c r="A140" s="14">
        <v>125</v>
      </c>
      <c r="B140" s="29" t="s">
        <v>456</v>
      </c>
      <c r="C140" s="13" t="s">
        <v>457</v>
      </c>
      <c r="D140" s="14" t="s">
        <v>60</v>
      </c>
      <c r="E140" s="13" t="s">
        <v>458</v>
      </c>
      <c r="F140" s="13" t="s">
        <v>459</v>
      </c>
      <c r="G140" s="30">
        <v>252000</v>
      </c>
      <c r="H140" s="31">
        <v>0.05</v>
      </c>
      <c r="I140" s="30">
        <v>12600</v>
      </c>
      <c r="J140" s="32">
        <v>264600</v>
      </c>
      <c r="K140" s="14" t="s">
        <v>20</v>
      </c>
      <c r="L140" s="33" t="s">
        <v>445</v>
      </c>
      <c r="M140" s="33" t="s">
        <v>446</v>
      </c>
      <c r="N140" s="35"/>
      <c r="O140" s="13"/>
      <c r="P140" s="14"/>
      <c r="Q140" s="13"/>
      <c r="R140" s="13"/>
    </row>
    <row r="141" spans="1:18" ht="46.5" x14ac:dyDescent="0.35">
      <c r="A141" s="14">
        <v>126</v>
      </c>
      <c r="B141" s="29" t="s">
        <v>460</v>
      </c>
      <c r="C141" s="13" t="s">
        <v>461</v>
      </c>
      <c r="D141" s="14" t="s">
        <v>60</v>
      </c>
      <c r="E141" s="13" t="s">
        <v>462</v>
      </c>
      <c r="F141" s="13" t="s">
        <v>463</v>
      </c>
      <c r="G141" s="30">
        <v>4500000</v>
      </c>
      <c r="H141" s="31">
        <v>0.18</v>
      </c>
      <c r="I141" s="30">
        <v>810000</v>
      </c>
      <c r="J141" s="32">
        <v>5310000</v>
      </c>
      <c r="K141" s="14">
        <v>720000</v>
      </c>
      <c r="L141" s="33" t="s">
        <v>445</v>
      </c>
      <c r="M141" s="33" t="s">
        <v>446</v>
      </c>
      <c r="N141" s="35"/>
      <c r="O141" s="13"/>
      <c r="P141" s="14"/>
      <c r="Q141" s="13"/>
      <c r="R141" s="13"/>
    </row>
    <row r="142" spans="1:18" ht="46.5" x14ac:dyDescent="0.35">
      <c r="A142" s="14">
        <v>127</v>
      </c>
      <c r="B142" s="13" t="s">
        <v>464</v>
      </c>
      <c r="C142" s="15" t="s">
        <v>465</v>
      </c>
      <c r="D142" s="14" t="s">
        <v>60</v>
      </c>
      <c r="E142" s="13" t="s">
        <v>466</v>
      </c>
      <c r="F142" s="13"/>
      <c r="G142" s="30">
        <v>33003000</v>
      </c>
      <c r="H142" s="31">
        <v>0.05</v>
      </c>
      <c r="I142" s="30">
        <v>1650150</v>
      </c>
      <c r="J142" s="32">
        <v>34653150</v>
      </c>
      <c r="K142" s="14">
        <v>13630239</v>
      </c>
      <c r="L142" s="33" t="s">
        <v>445</v>
      </c>
      <c r="M142" s="33" t="s">
        <v>446</v>
      </c>
      <c r="N142" s="35"/>
      <c r="O142" s="13"/>
      <c r="P142" s="14"/>
      <c r="Q142" s="13"/>
      <c r="R142" s="13"/>
    </row>
    <row r="143" spans="1:18" x14ac:dyDescent="0.35">
      <c r="A143" s="14"/>
      <c r="B143" s="29"/>
      <c r="C143" s="13"/>
      <c r="D143" s="14"/>
      <c r="E143" s="13"/>
      <c r="F143" s="13"/>
      <c r="G143" s="30"/>
      <c r="H143" s="14"/>
      <c r="I143" s="30"/>
      <c r="J143" s="32"/>
      <c r="K143" s="14"/>
      <c r="L143" s="33"/>
      <c r="M143" s="33"/>
      <c r="N143" s="35"/>
      <c r="O143" s="13"/>
      <c r="P143" s="14"/>
      <c r="Q143" s="13"/>
      <c r="R143" s="13"/>
    </row>
    <row r="144" spans="1:18" x14ac:dyDescent="0.35">
      <c r="A144" s="14"/>
      <c r="B144" s="29"/>
      <c r="C144" s="13"/>
      <c r="D144" s="14"/>
      <c r="E144" s="13"/>
      <c r="F144" s="13"/>
      <c r="G144" s="30"/>
      <c r="H144" s="14"/>
      <c r="I144" s="30"/>
      <c r="J144" s="32"/>
      <c r="K144" s="14"/>
      <c r="L144" s="33"/>
      <c r="M144" s="33"/>
      <c r="N144" s="35"/>
      <c r="O144" s="13"/>
      <c r="P144" s="14"/>
      <c r="Q144" s="13"/>
      <c r="R144" s="13"/>
    </row>
    <row r="145" spans="1:18" x14ac:dyDescent="0.35">
      <c r="A145" s="14"/>
      <c r="B145" s="29"/>
      <c r="C145" s="13"/>
      <c r="D145" s="14"/>
      <c r="E145" s="13"/>
      <c r="F145" s="13"/>
      <c r="G145" s="30"/>
      <c r="H145" s="14"/>
      <c r="I145" s="30"/>
      <c r="J145" s="32"/>
      <c r="K145" s="14"/>
      <c r="L145" s="33"/>
      <c r="M145" s="33"/>
      <c r="N145" s="35"/>
      <c r="O145" s="13"/>
      <c r="P145" s="14"/>
      <c r="Q145" s="13"/>
      <c r="R145" s="13"/>
    </row>
    <row r="146" spans="1:18" x14ac:dyDescent="0.35">
      <c r="A146" s="14"/>
      <c r="B146" s="29"/>
      <c r="C146" s="13"/>
      <c r="D146" s="14"/>
      <c r="E146" s="13"/>
      <c r="F146" s="13"/>
      <c r="G146" s="30"/>
      <c r="H146" s="14"/>
      <c r="I146" s="30"/>
      <c r="J146" s="32"/>
      <c r="K146" s="14"/>
      <c r="L146" s="33"/>
      <c r="M146" s="33"/>
      <c r="N146" s="35"/>
      <c r="O146" s="13"/>
      <c r="P146" s="14"/>
      <c r="Q146" s="13"/>
      <c r="R146" s="13"/>
    </row>
    <row r="147" spans="1:18" x14ac:dyDescent="0.35">
      <c r="A147" s="14"/>
      <c r="B147" s="29"/>
      <c r="C147" s="13"/>
      <c r="D147" s="14"/>
      <c r="E147" s="13"/>
      <c r="F147" s="13"/>
      <c r="G147" s="30"/>
      <c r="H147" s="14"/>
      <c r="I147" s="30"/>
      <c r="J147" s="32"/>
      <c r="K147" s="14"/>
      <c r="L147" s="33"/>
      <c r="M147" s="33"/>
      <c r="N147" s="35"/>
      <c r="O147" s="13"/>
      <c r="P147" s="14"/>
      <c r="Q147" s="13"/>
      <c r="R147" s="13"/>
    </row>
    <row r="148" spans="1:18" x14ac:dyDescent="0.35">
      <c r="A148" s="14"/>
      <c r="B148" s="29"/>
      <c r="C148" s="13"/>
      <c r="D148" s="14"/>
      <c r="E148" s="13"/>
      <c r="F148" s="13"/>
      <c r="G148" s="30"/>
      <c r="H148" s="14"/>
      <c r="I148" s="30"/>
      <c r="J148" s="32"/>
      <c r="K148" s="14"/>
      <c r="L148" s="33"/>
      <c r="M148" s="33"/>
      <c r="N148" s="35"/>
      <c r="O148" s="13"/>
      <c r="P148" s="14"/>
      <c r="Q148" s="13"/>
      <c r="R148" s="13"/>
    </row>
    <row r="149" spans="1:18" x14ac:dyDescent="0.35">
      <c r="A149" s="14"/>
      <c r="B149" s="29"/>
      <c r="C149" s="13"/>
      <c r="D149" s="14"/>
      <c r="E149" s="13"/>
      <c r="F149" s="13"/>
      <c r="G149" s="30"/>
      <c r="H149" s="14"/>
      <c r="I149" s="30"/>
      <c r="J149" s="32"/>
      <c r="K149" s="14"/>
      <c r="L149" s="33"/>
      <c r="M149" s="33"/>
      <c r="N149" s="35"/>
      <c r="O149" s="13"/>
      <c r="P149" s="14"/>
      <c r="Q149" s="13"/>
      <c r="R149" s="13"/>
    </row>
    <row r="150" spans="1:18" x14ac:dyDescent="0.35">
      <c r="A150" s="14"/>
      <c r="B150" s="29"/>
      <c r="C150" s="13"/>
      <c r="D150" s="14"/>
      <c r="E150" s="13"/>
      <c r="F150" s="13"/>
      <c r="G150" s="30"/>
      <c r="H150" s="14"/>
      <c r="I150" s="30"/>
      <c r="J150" s="32"/>
      <c r="K150" s="14"/>
      <c r="L150" s="33"/>
      <c r="M150" s="33"/>
      <c r="N150" s="35"/>
      <c r="O150" s="13"/>
      <c r="P150" s="14"/>
      <c r="Q150" s="13"/>
      <c r="R150" s="13"/>
    </row>
    <row r="151" spans="1:18" x14ac:dyDescent="0.35">
      <c r="A151" s="14"/>
      <c r="B151" s="29"/>
      <c r="C151" s="13"/>
      <c r="D151" s="14"/>
      <c r="E151" s="13"/>
      <c r="F151" s="13"/>
      <c r="G151" s="30"/>
      <c r="H151" s="14"/>
      <c r="I151" s="30"/>
      <c r="J151" s="32"/>
      <c r="K151" s="14"/>
      <c r="L151" s="33"/>
      <c r="M151" s="33"/>
      <c r="N151" s="35"/>
      <c r="O151" s="13"/>
      <c r="P151" s="14"/>
      <c r="Q151" s="13"/>
      <c r="R151" s="13"/>
    </row>
    <row r="152" spans="1:18" x14ac:dyDescent="0.35">
      <c r="A152" s="14"/>
      <c r="B152" s="29"/>
      <c r="C152" s="13"/>
      <c r="D152" s="14"/>
      <c r="E152" s="13"/>
      <c r="F152" s="13"/>
      <c r="G152" s="30"/>
      <c r="H152" s="14"/>
      <c r="I152" s="30"/>
      <c r="J152" s="32"/>
      <c r="K152" s="14"/>
      <c r="L152" s="33"/>
      <c r="M152" s="33"/>
      <c r="N152" s="35"/>
      <c r="O152" s="13"/>
      <c r="P152" s="14"/>
      <c r="Q152" s="13"/>
      <c r="R152" s="13"/>
    </row>
    <row r="153" spans="1:18" x14ac:dyDescent="0.35">
      <c r="A153" s="14"/>
      <c r="B153" s="29"/>
      <c r="C153" s="13"/>
      <c r="D153" s="14"/>
      <c r="E153" s="13"/>
      <c r="F153" s="13"/>
      <c r="G153" s="30"/>
      <c r="H153" s="14"/>
      <c r="I153" s="30"/>
      <c r="J153" s="32"/>
      <c r="K153" s="14"/>
      <c r="L153" s="33"/>
      <c r="M153" s="33"/>
      <c r="N153" s="35"/>
      <c r="O153" s="13"/>
      <c r="P153" s="14"/>
      <c r="Q153" s="13"/>
      <c r="R153" s="13"/>
    </row>
    <row r="154" spans="1:18" x14ac:dyDescent="0.35">
      <c r="A154" s="14"/>
      <c r="B154" s="29"/>
      <c r="C154" s="13"/>
      <c r="D154" s="14"/>
      <c r="E154" s="13"/>
      <c r="F154" s="13"/>
      <c r="G154" s="30"/>
      <c r="H154" s="14"/>
      <c r="I154" s="30"/>
      <c r="J154" s="32"/>
      <c r="K154" s="14"/>
      <c r="L154" s="33"/>
      <c r="M154" s="33"/>
      <c r="N154" s="35"/>
      <c r="O154" s="13"/>
      <c r="P154" s="14"/>
      <c r="Q154" s="13"/>
      <c r="R154" s="13"/>
    </row>
    <row r="155" spans="1:18" x14ac:dyDescent="0.35">
      <c r="A155" s="14"/>
      <c r="B155" s="29"/>
      <c r="C155" s="13"/>
      <c r="D155" s="14"/>
      <c r="E155" s="13"/>
      <c r="F155" s="13"/>
      <c r="G155" s="30"/>
      <c r="H155" s="14"/>
      <c r="I155" s="30"/>
      <c r="J155" s="32"/>
      <c r="K155" s="14"/>
      <c r="L155" s="33"/>
      <c r="M155" s="33"/>
      <c r="N155" s="35"/>
      <c r="O155" s="13"/>
      <c r="P155" s="14"/>
      <c r="Q155" s="13"/>
      <c r="R155" s="13"/>
    </row>
    <row r="156" spans="1:18" x14ac:dyDescent="0.35">
      <c r="A156" s="14"/>
      <c r="B156" s="29"/>
      <c r="C156" s="13"/>
      <c r="D156" s="14"/>
      <c r="E156" s="13"/>
      <c r="F156" s="13"/>
      <c r="G156" s="30"/>
      <c r="H156" s="14"/>
      <c r="I156" s="30"/>
      <c r="J156" s="32"/>
      <c r="K156" s="14"/>
      <c r="L156" s="33"/>
      <c r="M156" s="33"/>
      <c r="N156" s="35"/>
      <c r="O156" s="13"/>
      <c r="P156" s="14"/>
      <c r="Q156" s="13"/>
      <c r="R156" s="13"/>
    </row>
    <row r="157" spans="1:18" x14ac:dyDescent="0.35">
      <c r="A157" s="14"/>
      <c r="B157" s="29"/>
      <c r="C157" s="13"/>
      <c r="D157" s="14"/>
      <c r="E157" s="13"/>
      <c r="F157" s="13"/>
      <c r="G157" s="30"/>
      <c r="H157" s="14"/>
      <c r="I157" s="30"/>
      <c r="J157" s="32"/>
      <c r="K157" s="14"/>
      <c r="L157" s="33"/>
      <c r="M157" s="33"/>
      <c r="N157" s="35"/>
      <c r="O157" s="13"/>
      <c r="P157" s="14"/>
      <c r="Q157" s="13"/>
      <c r="R157" s="13"/>
    </row>
    <row r="158" spans="1:18" x14ac:dyDescent="0.35">
      <c r="A158" s="14"/>
      <c r="B158" s="29"/>
      <c r="C158" s="13"/>
      <c r="D158" s="14"/>
      <c r="E158" s="13"/>
      <c r="F158" s="13"/>
      <c r="G158" s="30"/>
      <c r="H158" s="14"/>
      <c r="I158" s="30"/>
      <c r="J158" s="32"/>
      <c r="K158" s="14"/>
      <c r="L158" s="33"/>
      <c r="M158" s="33"/>
      <c r="N158" s="35"/>
      <c r="O158" s="13"/>
      <c r="P158" s="14"/>
      <c r="Q158" s="13"/>
      <c r="R158" s="13"/>
    </row>
    <row r="159" spans="1:18" x14ac:dyDescent="0.35">
      <c r="A159" s="14"/>
      <c r="B159" s="29"/>
      <c r="C159" s="13"/>
      <c r="D159" s="14"/>
      <c r="E159" s="13"/>
      <c r="F159" s="13"/>
      <c r="G159" s="30"/>
      <c r="H159" s="14"/>
      <c r="I159" s="30"/>
      <c r="J159" s="32"/>
      <c r="K159" s="14"/>
      <c r="L159" s="33"/>
      <c r="M159" s="33"/>
      <c r="N159" s="35"/>
      <c r="O159" s="13"/>
      <c r="P159" s="14"/>
      <c r="Q159" s="13"/>
      <c r="R159" s="13"/>
    </row>
    <row r="160" spans="1:18" x14ac:dyDescent="0.35">
      <c r="A160" s="14"/>
      <c r="B160" s="29"/>
      <c r="C160" s="13"/>
      <c r="D160" s="14"/>
      <c r="E160" s="13"/>
      <c r="F160" s="13"/>
      <c r="G160" s="30"/>
      <c r="H160" s="14"/>
      <c r="I160" s="30"/>
      <c r="J160" s="32"/>
      <c r="K160" s="14"/>
      <c r="L160" s="33"/>
      <c r="M160" s="33"/>
      <c r="N160" s="35"/>
      <c r="O160" s="13"/>
      <c r="P160" s="14"/>
      <c r="Q160" s="13"/>
      <c r="R160" s="13"/>
    </row>
    <row r="161" spans="1:18" x14ac:dyDescent="0.35">
      <c r="A161" s="14"/>
      <c r="B161" s="29"/>
      <c r="C161" s="13"/>
      <c r="D161" s="14"/>
      <c r="E161" s="13"/>
      <c r="F161" s="13"/>
      <c r="G161" s="30"/>
      <c r="H161" s="14"/>
      <c r="I161" s="30"/>
      <c r="J161" s="32"/>
      <c r="K161" s="14"/>
      <c r="L161" s="33"/>
      <c r="M161" s="33"/>
      <c r="N161" s="35"/>
      <c r="O161" s="13"/>
      <c r="P161" s="14"/>
      <c r="Q161" s="13"/>
      <c r="R161" s="13"/>
    </row>
    <row r="162" spans="1:18" x14ac:dyDescent="0.35">
      <c r="A162" s="14"/>
      <c r="B162" s="29"/>
      <c r="C162" s="13"/>
      <c r="D162" s="14"/>
      <c r="E162" s="13"/>
      <c r="F162" s="13"/>
      <c r="G162" s="30"/>
      <c r="H162" s="14"/>
      <c r="I162" s="30"/>
      <c r="J162" s="32"/>
      <c r="K162" s="14"/>
      <c r="L162" s="33"/>
      <c r="M162" s="33"/>
      <c r="N162" s="35"/>
      <c r="O162" s="13"/>
      <c r="P162" s="14"/>
      <c r="Q162" s="13"/>
      <c r="R162" s="13"/>
    </row>
    <row r="163" spans="1:18" x14ac:dyDescent="0.35">
      <c r="A163" s="14"/>
      <c r="B163" s="29"/>
      <c r="C163" s="13"/>
      <c r="D163" s="14"/>
      <c r="E163" s="13"/>
      <c r="F163" s="13"/>
      <c r="G163" s="30"/>
      <c r="H163" s="14"/>
      <c r="I163" s="30"/>
      <c r="J163" s="32"/>
      <c r="K163" s="14"/>
      <c r="L163" s="33"/>
      <c r="M163" s="33"/>
      <c r="N163" s="35"/>
      <c r="O163" s="13"/>
      <c r="P163" s="14"/>
      <c r="Q163" s="13"/>
      <c r="R163" s="13"/>
    </row>
    <row r="164" spans="1:18" x14ac:dyDescent="0.35">
      <c r="A164" s="14"/>
      <c r="B164" s="29"/>
      <c r="C164" s="13"/>
      <c r="D164" s="14"/>
      <c r="E164" s="13"/>
      <c r="F164" s="13"/>
      <c r="G164" s="30"/>
      <c r="H164" s="14"/>
      <c r="I164" s="30"/>
      <c r="J164" s="32"/>
      <c r="K164" s="14"/>
      <c r="L164" s="33"/>
      <c r="M164" s="33"/>
      <c r="N164" s="35"/>
      <c r="O164" s="13"/>
      <c r="P164" s="14"/>
      <c r="Q164" s="13"/>
      <c r="R164" s="13"/>
    </row>
    <row r="165" spans="1:18" x14ac:dyDescent="0.35">
      <c r="A165" s="14"/>
      <c r="B165" s="29"/>
      <c r="C165" s="13"/>
      <c r="D165" s="14"/>
      <c r="E165" s="13"/>
      <c r="F165" s="13"/>
      <c r="G165" s="30"/>
      <c r="H165" s="14"/>
      <c r="I165" s="30"/>
      <c r="J165" s="32"/>
      <c r="K165" s="14"/>
      <c r="L165" s="33"/>
      <c r="M165" s="33"/>
      <c r="N165" s="35"/>
      <c r="O165" s="13"/>
      <c r="P165" s="14"/>
      <c r="Q165" s="13"/>
      <c r="R165" s="13"/>
    </row>
    <row r="166" spans="1:18" x14ac:dyDescent="0.35">
      <c r="A166" s="14"/>
      <c r="B166" s="29"/>
      <c r="C166" s="13"/>
      <c r="D166" s="14"/>
      <c r="E166" s="13"/>
      <c r="F166" s="13"/>
      <c r="G166" s="30"/>
      <c r="H166" s="14"/>
      <c r="I166" s="30"/>
      <c r="J166" s="32"/>
      <c r="K166" s="14"/>
      <c r="L166" s="33"/>
      <c r="M166" s="33"/>
      <c r="N166" s="35"/>
      <c r="O166" s="13"/>
      <c r="P166" s="14"/>
      <c r="Q166" s="13"/>
      <c r="R166" s="13"/>
    </row>
    <row r="167" spans="1:18" x14ac:dyDescent="0.35">
      <c r="A167" s="14"/>
      <c r="B167" s="29"/>
      <c r="C167" s="13"/>
      <c r="D167" s="14"/>
      <c r="E167" s="13"/>
      <c r="F167" s="13"/>
      <c r="G167" s="30"/>
      <c r="H167" s="14"/>
      <c r="I167" s="30"/>
      <c r="J167" s="32"/>
      <c r="K167" s="14"/>
      <c r="L167" s="33"/>
      <c r="M167" s="33"/>
      <c r="N167" s="35"/>
      <c r="O167" s="13"/>
      <c r="P167" s="14"/>
      <c r="Q167" s="13"/>
      <c r="R167" s="13"/>
    </row>
    <row r="168" spans="1:18" x14ac:dyDescent="0.35">
      <c r="A168" s="14"/>
      <c r="B168" s="29"/>
      <c r="C168" s="13"/>
      <c r="D168" s="14"/>
      <c r="E168" s="13"/>
      <c r="F168" s="13"/>
      <c r="G168" s="30"/>
      <c r="H168" s="14"/>
      <c r="I168" s="30"/>
      <c r="J168" s="32"/>
      <c r="K168" s="14"/>
      <c r="L168" s="33"/>
      <c r="M168" s="33"/>
      <c r="N168" s="35"/>
      <c r="O168" s="13"/>
      <c r="P168" s="14"/>
      <c r="Q168" s="13"/>
      <c r="R168" s="13"/>
    </row>
    <row r="169" spans="1:18" x14ac:dyDescent="0.35">
      <c r="A169" s="14"/>
      <c r="B169" s="29"/>
      <c r="C169" s="13"/>
      <c r="D169" s="14"/>
      <c r="E169" s="13"/>
      <c r="F169" s="13"/>
      <c r="G169" s="30"/>
      <c r="H169" s="14"/>
      <c r="I169" s="30"/>
      <c r="J169" s="32"/>
      <c r="K169" s="14"/>
      <c r="L169" s="33"/>
      <c r="M169" s="33"/>
      <c r="N169" s="35"/>
      <c r="O169" s="13"/>
      <c r="P169" s="14"/>
      <c r="Q169" s="13"/>
      <c r="R169" s="13"/>
    </row>
    <row r="170" spans="1:18" x14ac:dyDescent="0.35">
      <c r="A170" s="14"/>
      <c r="B170" s="29"/>
      <c r="C170" s="13"/>
      <c r="D170" s="14"/>
      <c r="E170" s="13"/>
      <c r="F170" s="13"/>
      <c r="G170" s="30"/>
      <c r="H170" s="14"/>
      <c r="I170" s="30"/>
      <c r="J170" s="32"/>
      <c r="K170" s="14"/>
      <c r="L170" s="33"/>
      <c r="M170" s="33"/>
      <c r="N170" s="35"/>
      <c r="O170" s="13"/>
      <c r="P170" s="14"/>
      <c r="Q170" s="13"/>
      <c r="R170" s="13"/>
    </row>
    <row r="171" spans="1:18" x14ac:dyDescent="0.35">
      <c r="A171" s="14"/>
      <c r="B171" s="29"/>
      <c r="C171" s="13"/>
      <c r="D171" s="14"/>
      <c r="E171" s="13"/>
      <c r="F171" s="13"/>
      <c r="G171" s="30"/>
      <c r="H171" s="14"/>
      <c r="I171" s="30"/>
      <c r="J171" s="32"/>
      <c r="K171" s="14"/>
      <c r="L171" s="33"/>
      <c r="M171" s="33"/>
      <c r="N171" s="35"/>
      <c r="O171" s="13"/>
      <c r="P171" s="14"/>
      <c r="Q171" s="13"/>
      <c r="R171" s="13"/>
    </row>
    <row r="172" spans="1:18" x14ac:dyDescent="0.35">
      <c r="A172" s="14"/>
      <c r="B172" s="29"/>
      <c r="C172" s="13"/>
      <c r="D172" s="14"/>
      <c r="E172" s="13"/>
      <c r="F172" s="13"/>
      <c r="G172" s="30"/>
      <c r="H172" s="14"/>
      <c r="I172" s="30"/>
      <c r="J172" s="32"/>
      <c r="K172" s="14"/>
      <c r="L172" s="33"/>
      <c r="M172" s="33"/>
      <c r="N172" s="35"/>
      <c r="O172" s="13"/>
      <c r="P172" s="14"/>
      <c r="Q172" s="13"/>
      <c r="R172" s="13"/>
    </row>
    <row r="173" spans="1:18" x14ac:dyDescent="0.35">
      <c r="A173" s="14"/>
      <c r="B173" s="29"/>
      <c r="C173" s="13"/>
      <c r="D173" s="14"/>
      <c r="E173" s="13"/>
      <c r="F173" s="13"/>
      <c r="G173" s="30"/>
      <c r="H173" s="14"/>
      <c r="I173" s="30"/>
      <c r="J173" s="32"/>
      <c r="K173" s="14"/>
      <c r="L173" s="33"/>
      <c r="M173" s="33"/>
      <c r="N173" s="35"/>
      <c r="O173" s="13"/>
      <c r="P173" s="14"/>
      <c r="Q173" s="13"/>
      <c r="R173" s="13"/>
    </row>
    <row r="174" spans="1:18" x14ac:dyDescent="0.35">
      <c r="A174" s="14"/>
      <c r="B174" s="29"/>
      <c r="C174" s="13"/>
      <c r="D174" s="14"/>
      <c r="E174" s="13"/>
      <c r="F174" s="13"/>
      <c r="G174" s="30"/>
      <c r="H174" s="14"/>
      <c r="I174" s="30"/>
      <c r="J174" s="32"/>
      <c r="K174" s="14"/>
      <c r="L174" s="33"/>
      <c r="M174" s="33"/>
      <c r="N174" s="35"/>
      <c r="O174" s="13"/>
      <c r="P174" s="14"/>
      <c r="Q174" s="13"/>
      <c r="R174" s="13"/>
    </row>
    <row r="175" spans="1:18" x14ac:dyDescent="0.35">
      <c r="A175" s="14"/>
      <c r="B175" s="29"/>
      <c r="C175" s="13"/>
      <c r="D175" s="14"/>
      <c r="E175" s="13"/>
      <c r="F175" s="13"/>
      <c r="G175" s="30"/>
      <c r="H175" s="14"/>
      <c r="I175" s="30"/>
      <c r="J175" s="32"/>
      <c r="K175" s="14"/>
      <c r="L175" s="33"/>
      <c r="M175" s="33"/>
      <c r="N175" s="35"/>
      <c r="O175" s="13"/>
      <c r="P175" s="14"/>
      <c r="Q175" s="13"/>
      <c r="R175" s="13"/>
    </row>
    <row r="176" spans="1:18" x14ac:dyDescent="0.35">
      <c r="A176" s="14"/>
      <c r="B176" s="29"/>
      <c r="C176" s="13"/>
      <c r="D176" s="14"/>
      <c r="E176" s="13"/>
      <c r="F176" s="13"/>
      <c r="G176" s="30"/>
      <c r="H176" s="14"/>
      <c r="I176" s="30"/>
      <c r="J176" s="32"/>
      <c r="K176" s="14"/>
      <c r="L176" s="33"/>
      <c r="M176" s="33"/>
      <c r="N176" s="35"/>
      <c r="O176" s="13"/>
      <c r="P176" s="14"/>
      <c r="Q176" s="13"/>
      <c r="R176" s="13"/>
    </row>
    <row r="177" spans="1:18" x14ac:dyDescent="0.35">
      <c r="A177" s="14"/>
      <c r="B177" s="29"/>
      <c r="C177" s="13"/>
      <c r="D177" s="14"/>
      <c r="E177" s="13"/>
      <c r="F177" s="13"/>
      <c r="G177" s="30"/>
      <c r="H177" s="14"/>
      <c r="I177" s="30"/>
      <c r="J177" s="32"/>
      <c r="K177" s="14"/>
      <c r="L177" s="33"/>
      <c r="M177" s="33"/>
      <c r="N177" s="35"/>
      <c r="O177" s="13"/>
      <c r="P177" s="14"/>
      <c r="Q177" s="13"/>
      <c r="R177" s="13"/>
    </row>
    <row r="178" spans="1:18" x14ac:dyDescent="0.35">
      <c r="A178" s="14"/>
      <c r="B178" s="29"/>
      <c r="C178" s="13"/>
      <c r="D178" s="14"/>
      <c r="E178" s="13"/>
      <c r="F178" s="13"/>
      <c r="G178" s="30"/>
      <c r="H178" s="14"/>
      <c r="I178" s="30"/>
      <c r="J178" s="32"/>
      <c r="K178" s="14"/>
      <c r="L178" s="33"/>
      <c r="M178" s="33"/>
      <c r="N178" s="35"/>
      <c r="O178" s="13"/>
      <c r="P178" s="14"/>
      <c r="Q178" s="13"/>
      <c r="R178" s="13"/>
    </row>
    <row r="179" spans="1:18" x14ac:dyDescent="0.35">
      <c r="A179" s="14"/>
      <c r="B179" s="29"/>
      <c r="C179" s="13"/>
      <c r="D179" s="14"/>
      <c r="E179" s="13"/>
      <c r="F179" s="13"/>
      <c r="G179" s="30"/>
      <c r="H179" s="14"/>
      <c r="I179" s="30"/>
      <c r="J179" s="32"/>
      <c r="K179" s="14"/>
      <c r="L179" s="33"/>
      <c r="M179" s="33"/>
      <c r="N179" s="35"/>
      <c r="O179" s="13"/>
      <c r="P179" s="14"/>
      <c r="Q179" s="13"/>
      <c r="R179" s="13"/>
    </row>
    <row r="180" spans="1:18" x14ac:dyDescent="0.35">
      <c r="A180" s="14"/>
      <c r="B180" s="29"/>
      <c r="C180" s="13"/>
      <c r="D180" s="14"/>
      <c r="E180" s="13"/>
      <c r="F180" s="13"/>
      <c r="G180" s="30"/>
      <c r="H180" s="14"/>
      <c r="I180" s="30"/>
      <c r="J180" s="32"/>
      <c r="K180" s="14"/>
      <c r="L180" s="33"/>
      <c r="M180" s="33"/>
      <c r="N180" s="35"/>
      <c r="O180" s="13"/>
      <c r="P180" s="14"/>
      <c r="Q180" s="13"/>
      <c r="R180" s="13"/>
    </row>
    <row r="181" spans="1:18" x14ac:dyDescent="0.35">
      <c r="A181" s="14"/>
      <c r="B181" s="29"/>
      <c r="C181" s="13"/>
      <c r="D181" s="14"/>
      <c r="E181" s="13"/>
      <c r="F181" s="13"/>
      <c r="G181" s="30"/>
      <c r="H181" s="14"/>
      <c r="I181" s="30"/>
      <c r="J181" s="32"/>
      <c r="K181" s="14"/>
      <c r="L181" s="33"/>
      <c r="M181" s="33"/>
      <c r="N181" s="35"/>
      <c r="O181" s="13"/>
      <c r="P181" s="14"/>
      <c r="Q181" s="13"/>
      <c r="R181" s="13"/>
    </row>
    <row r="182" spans="1:18" x14ac:dyDescent="0.35">
      <c r="A182" s="14"/>
      <c r="B182" s="29"/>
      <c r="C182" s="13"/>
      <c r="D182" s="14"/>
      <c r="E182" s="13"/>
      <c r="F182" s="13"/>
      <c r="G182" s="30"/>
      <c r="H182" s="14"/>
      <c r="I182" s="30"/>
      <c r="J182" s="32"/>
      <c r="K182" s="14"/>
      <c r="L182" s="33"/>
      <c r="M182" s="33"/>
      <c r="N182" s="35"/>
      <c r="O182" s="13"/>
      <c r="P182" s="14"/>
      <c r="Q182" s="13"/>
      <c r="R182" s="13"/>
    </row>
    <row r="183" spans="1:18" x14ac:dyDescent="0.35">
      <c r="A183" s="14"/>
      <c r="B183" s="29"/>
      <c r="C183" s="13"/>
      <c r="D183" s="14"/>
      <c r="E183" s="13"/>
      <c r="F183" s="13"/>
      <c r="G183" s="30"/>
      <c r="H183" s="14"/>
      <c r="I183" s="30"/>
      <c r="J183" s="32"/>
      <c r="K183" s="14"/>
      <c r="L183" s="33"/>
      <c r="M183" s="33"/>
      <c r="N183" s="35"/>
      <c r="O183" s="13"/>
      <c r="P183" s="14"/>
      <c r="Q183" s="13"/>
      <c r="R183" s="13"/>
    </row>
    <row r="184" spans="1:18" x14ac:dyDescent="0.35">
      <c r="A184" s="14"/>
      <c r="B184" s="29"/>
      <c r="C184" s="13"/>
      <c r="D184" s="14"/>
      <c r="E184" s="13"/>
      <c r="F184" s="13"/>
      <c r="G184" s="30"/>
      <c r="H184" s="14"/>
      <c r="I184" s="30"/>
      <c r="J184" s="32"/>
      <c r="K184" s="14"/>
      <c r="L184" s="33"/>
      <c r="M184" s="33"/>
      <c r="N184" s="35"/>
      <c r="O184" s="13"/>
      <c r="P184" s="14"/>
      <c r="Q184" s="13"/>
      <c r="R184" s="13"/>
    </row>
    <row r="185" spans="1:18" x14ac:dyDescent="0.35">
      <c r="A185" s="14"/>
      <c r="B185" s="29"/>
      <c r="C185" s="13"/>
      <c r="D185" s="14"/>
      <c r="E185" s="13"/>
      <c r="F185" s="13"/>
      <c r="G185" s="30"/>
      <c r="H185" s="14"/>
      <c r="I185" s="30"/>
      <c r="J185" s="32"/>
      <c r="K185" s="14"/>
      <c r="L185" s="33"/>
      <c r="M185" s="33"/>
      <c r="N185" s="35"/>
      <c r="O185" s="13"/>
      <c r="P185" s="14"/>
      <c r="Q185" s="13"/>
      <c r="R185" s="13"/>
    </row>
    <row r="186" spans="1:18" x14ac:dyDescent="0.35">
      <c r="A186" s="14"/>
      <c r="B186" s="29"/>
      <c r="C186" s="13"/>
      <c r="D186" s="14"/>
      <c r="E186" s="13"/>
      <c r="F186" s="13"/>
      <c r="G186" s="30"/>
      <c r="H186" s="14"/>
      <c r="I186" s="30"/>
      <c r="J186" s="32"/>
      <c r="K186" s="14"/>
      <c r="L186" s="33"/>
      <c r="M186" s="33"/>
      <c r="N186" s="35"/>
      <c r="O186" s="13"/>
      <c r="P186" s="14"/>
      <c r="Q186" s="13"/>
      <c r="R186" s="13"/>
    </row>
    <row r="187" spans="1:18" x14ac:dyDescent="0.35">
      <c r="A187" s="14"/>
      <c r="B187" s="29"/>
      <c r="C187" s="13"/>
      <c r="D187" s="14"/>
      <c r="E187" s="13"/>
      <c r="F187" s="13"/>
      <c r="G187" s="30"/>
      <c r="H187" s="14"/>
      <c r="I187" s="30"/>
      <c r="J187" s="32"/>
      <c r="K187" s="14"/>
      <c r="L187" s="33"/>
      <c r="M187" s="33"/>
      <c r="N187" s="35"/>
      <c r="O187" s="13"/>
      <c r="P187" s="14"/>
      <c r="Q187" s="13"/>
      <c r="R187" s="13"/>
    </row>
    <row r="188" spans="1:18" x14ac:dyDescent="0.35">
      <c r="A188" s="14"/>
      <c r="B188" s="29"/>
      <c r="C188" s="13"/>
      <c r="D188" s="14"/>
      <c r="E188" s="13"/>
      <c r="F188" s="13"/>
      <c r="G188" s="30"/>
      <c r="H188" s="14"/>
      <c r="I188" s="30"/>
      <c r="J188" s="32"/>
      <c r="K188" s="14"/>
      <c r="L188" s="33"/>
      <c r="M188" s="33"/>
      <c r="N188" s="35"/>
      <c r="O188" s="13"/>
      <c r="P188" s="14"/>
      <c r="Q188" s="13"/>
      <c r="R188" s="13"/>
    </row>
    <row r="189" spans="1:18" x14ac:dyDescent="0.35">
      <c r="A189" s="14"/>
      <c r="B189" s="29"/>
      <c r="C189" s="13"/>
      <c r="D189" s="14"/>
      <c r="E189" s="13"/>
      <c r="F189" s="13"/>
      <c r="G189" s="30"/>
      <c r="H189" s="14"/>
      <c r="I189" s="30"/>
      <c r="J189" s="32"/>
      <c r="K189" s="14"/>
      <c r="L189" s="33"/>
      <c r="M189" s="33"/>
      <c r="N189" s="35"/>
      <c r="O189" s="13"/>
      <c r="P189" s="14"/>
      <c r="Q189" s="13"/>
      <c r="R189" s="13"/>
    </row>
    <row r="190" spans="1:18" x14ac:dyDescent="0.35">
      <c r="A190" s="14"/>
      <c r="B190" s="29"/>
      <c r="C190" s="13"/>
      <c r="D190" s="14"/>
      <c r="E190" s="13"/>
      <c r="F190" s="13"/>
      <c r="G190" s="30"/>
      <c r="H190" s="14"/>
      <c r="I190" s="30"/>
      <c r="J190" s="32"/>
      <c r="K190" s="14"/>
      <c r="L190" s="33"/>
      <c r="M190" s="33"/>
      <c r="N190" s="35"/>
      <c r="O190" s="13"/>
      <c r="P190" s="14"/>
      <c r="Q190" s="13"/>
      <c r="R190" s="13"/>
    </row>
    <row r="191" spans="1:18" x14ac:dyDescent="0.35">
      <c r="A191" s="14"/>
      <c r="B191" s="29"/>
      <c r="C191" s="13"/>
      <c r="D191" s="14"/>
      <c r="E191" s="13"/>
      <c r="F191" s="13"/>
      <c r="G191" s="30"/>
      <c r="H191" s="14"/>
      <c r="I191" s="30"/>
      <c r="J191" s="32"/>
      <c r="K191" s="14"/>
      <c r="L191" s="33"/>
      <c r="M191" s="33"/>
      <c r="N191" s="35"/>
      <c r="O191" s="13"/>
      <c r="P191" s="14"/>
      <c r="Q191" s="13"/>
      <c r="R191" s="13"/>
    </row>
    <row r="192" spans="1:18" x14ac:dyDescent="0.35">
      <c r="A192" s="14"/>
      <c r="B192" s="29"/>
      <c r="C192" s="13"/>
      <c r="D192" s="14"/>
      <c r="E192" s="13"/>
      <c r="F192" s="13"/>
      <c r="G192" s="30"/>
      <c r="H192" s="14"/>
      <c r="I192" s="30"/>
      <c r="J192" s="32"/>
      <c r="K192" s="14"/>
      <c r="L192" s="33"/>
      <c r="M192" s="33"/>
      <c r="N192" s="35"/>
      <c r="O192" s="13"/>
      <c r="P192" s="14"/>
      <c r="Q192" s="13"/>
      <c r="R192" s="13"/>
    </row>
    <row r="193" spans="1:18" x14ac:dyDescent="0.35">
      <c r="A193" s="14"/>
      <c r="B193" s="29"/>
      <c r="C193" s="13"/>
      <c r="D193" s="14"/>
      <c r="E193" s="13"/>
      <c r="F193" s="13"/>
      <c r="G193" s="30"/>
      <c r="H193" s="14"/>
      <c r="I193" s="30"/>
      <c r="J193" s="32"/>
      <c r="K193" s="14"/>
      <c r="L193" s="33"/>
      <c r="M193" s="33"/>
      <c r="N193" s="35"/>
      <c r="O193" s="13"/>
      <c r="P193" s="14"/>
      <c r="Q193" s="13"/>
      <c r="R193" s="13"/>
    </row>
    <row r="194" spans="1:18" x14ac:dyDescent="0.35">
      <c r="A194" s="14"/>
      <c r="B194" s="29"/>
      <c r="C194" s="13"/>
      <c r="D194" s="14"/>
      <c r="E194" s="13"/>
      <c r="F194" s="13"/>
      <c r="G194" s="30"/>
      <c r="H194" s="14"/>
      <c r="I194" s="30"/>
      <c r="J194" s="32"/>
      <c r="K194" s="14"/>
      <c r="L194" s="33"/>
      <c r="M194" s="33"/>
      <c r="N194" s="35"/>
      <c r="O194" s="13"/>
      <c r="P194" s="14"/>
      <c r="Q194" s="13"/>
      <c r="R194" s="13"/>
    </row>
    <row r="195" spans="1:18" x14ac:dyDescent="0.35">
      <c r="A195" s="14"/>
      <c r="B195" s="29"/>
      <c r="C195" s="13"/>
      <c r="D195" s="14"/>
      <c r="E195" s="13"/>
      <c r="F195" s="13"/>
      <c r="G195" s="30"/>
      <c r="H195" s="14"/>
      <c r="I195" s="30"/>
      <c r="J195" s="32"/>
      <c r="K195" s="14"/>
      <c r="L195" s="33"/>
      <c r="M195" s="33"/>
      <c r="N195" s="35"/>
      <c r="O195" s="13"/>
      <c r="P195" s="14"/>
      <c r="Q195" s="13"/>
      <c r="R195" s="13"/>
    </row>
    <row r="196" spans="1:18" x14ac:dyDescent="0.35">
      <c r="A196" s="14"/>
      <c r="B196" s="29"/>
      <c r="C196" s="13"/>
      <c r="D196" s="14"/>
      <c r="E196" s="13"/>
      <c r="F196" s="13"/>
      <c r="G196" s="30"/>
      <c r="H196" s="14"/>
      <c r="I196" s="30"/>
      <c r="J196" s="32"/>
      <c r="K196" s="14"/>
      <c r="L196" s="33"/>
      <c r="M196" s="33"/>
      <c r="N196" s="35"/>
      <c r="O196" s="13"/>
      <c r="P196" s="14"/>
      <c r="Q196" s="13"/>
      <c r="R196" s="13"/>
    </row>
    <row r="197" spans="1:18" x14ac:dyDescent="0.35">
      <c r="A197" s="14"/>
      <c r="B197" s="29"/>
      <c r="C197" s="13"/>
      <c r="D197" s="14"/>
      <c r="E197" s="13"/>
      <c r="F197" s="13"/>
      <c r="G197" s="30"/>
      <c r="H197" s="14"/>
      <c r="I197" s="30"/>
      <c r="J197" s="32"/>
      <c r="K197" s="14"/>
      <c r="L197" s="33"/>
      <c r="M197" s="33"/>
      <c r="N197" s="35"/>
      <c r="O197" s="13"/>
      <c r="P197" s="14"/>
      <c r="Q197" s="13"/>
      <c r="R197" s="13"/>
    </row>
    <row r="198" spans="1:18" x14ac:dyDescent="0.35">
      <c r="A198" s="14"/>
      <c r="B198" s="29"/>
      <c r="C198" s="13"/>
      <c r="D198" s="14"/>
      <c r="E198" s="13"/>
      <c r="F198" s="13"/>
      <c r="G198" s="30"/>
      <c r="H198" s="14"/>
      <c r="I198" s="30"/>
      <c r="J198" s="32"/>
      <c r="K198" s="14"/>
      <c r="L198" s="33"/>
      <c r="M198" s="33"/>
      <c r="N198" s="35"/>
      <c r="O198" s="13"/>
      <c r="P198" s="14"/>
      <c r="Q198" s="13"/>
      <c r="R198" s="13"/>
    </row>
    <row r="199" spans="1:18" x14ac:dyDescent="0.35">
      <c r="A199" s="14"/>
      <c r="B199" s="29"/>
      <c r="C199" s="13"/>
      <c r="D199" s="14"/>
      <c r="E199" s="13"/>
      <c r="F199" s="13"/>
      <c r="G199" s="30"/>
      <c r="H199" s="14"/>
      <c r="I199" s="30"/>
      <c r="J199" s="32"/>
      <c r="K199" s="14"/>
      <c r="L199" s="33"/>
      <c r="M199" s="33"/>
      <c r="N199" s="35"/>
      <c r="O199" s="13"/>
      <c r="P199" s="14"/>
      <c r="Q199" s="13"/>
      <c r="R199" s="13"/>
    </row>
    <row r="200" spans="1:18" x14ac:dyDescent="0.35">
      <c r="A200" s="14"/>
      <c r="B200" s="29"/>
      <c r="C200" s="13"/>
      <c r="D200" s="14"/>
      <c r="E200" s="13"/>
      <c r="F200" s="13"/>
      <c r="G200" s="30"/>
      <c r="H200" s="14"/>
      <c r="I200" s="30"/>
      <c r="J200" s="32"/>
      <c r="K200" s="14"/>
      <c r="L200" s="33"/>
      <c r="M200" s="33"/>
      <c r="N200" s="35"/>
      <c r="O200" s="13"/>
      <c r="P200" s="14"/>
      <c r="Q200" s="13"/>
      <c r="R200" s="13"/>
    </row>
    <row r="201" spans="1:18" x14ac:dyDescent="0.35">
      <c r="A201" s="14"/>
      <c r="B201" s="29"/>
      <c r="C201" s="13"/>
      <c r="D201" s="14"/>
      <c r="E201" s="13"/>
      <c r="F201" s="13"/>
      <c r="G201" s="30"/>
      <c r="H201" s="14"/>
      <c r="I201" s="30"/>
      <c r="J201" s="32"/>
      <c r="K201" s="14"/>
      <c r="L201" s="33"/>
      <c r="M201" s="33"/>
      <c r="N201" s="35"/>
      <c r="O201" s="13"/>
      <c r="P201" s="14"/>
      <c r="Q201" s="13"/>
      <c r="R201" s="13"/>
    </row>
    <row r="202" spans="1:18" x14ac:dyDescent="0.35">
      <c r="A202" s="14"/>
      <c r="B202" s="29"/>
      <c r="C202" s="13"/>
      <c r="D202" s="14"/>
      <c r="E202" s="13"/>
      <c r="F202" s="13"/>
      <c r="G202" s="30"/>
      <c r="H202" s="14"/>
      <c r="I202" s="30"/>
      <c r="J202" s="32"/>
      <c r="K202" s="14"/>
      <c r="L202" s="33"/>
      <c r="M202" s="33"/>
      <c r="N202" s="35"/>
      <c r="O202" s="13"/>
      <c r="P202" s="14"/>
      <c r="Q202" s="13"/>
      <c r="R202" s="13"/>
    </row>
    <row r="203" spans="1:18" x14ac:dyDescent="0.35">
      <c r="A203" s="14"/>
      <c r="B203" s="29"/>
      <c r="C203" s="13"/>
      <c r="D203" s="14"/>
      <c r="E203" s="13"/>
      <c r="F203" s="13"/>
      <c r="G203" s="30"/>
      <c r="H203" s="14"/>
      <c r="I203" s="30"/>
      <c r="J203" s="32"/>
      <c r="K203" s="14"/>
      <c r="L203" s="33"/>
      <c r="M203" s="33"/>
      <c r="N203" s="35"/>
      <c r="O203" s="13"/>
      <c r="P203" s="14"/>
      <c r="Q203" s="13"/>
      <c r="R203" s="13"/>
    </row>
    <row r="204" spans="1:18" x14ac:dyDescent="0.35">
      <c r="A204" s="14"/>
      <c r="B204" s="29"/>
      <c r="C204" s="13"/>
      <c r="D204" s="14"/>
      <c r="E204" s="13"/>
      <c r="F204" s="13"/>
      <c r="G204" s="30"/>
      <c r="H204" s="14"/>
      <c r="I204" s="30"/>
      <c r="J204" s="32"/>
      <c r="K204" s="14"/>
      <c r="L204" s="33"/>
      <c r="M204" s="33"/>
      <c r="N204" s="35"/>
      <c r="O204" s="13"/>
      <c r="P204" s="14"/>
      <c r="Q204" s="13"/>
      <c r="R204" s="13"/>
    </row>
    <row r="205" spans="1:18" x14ac:dyDescent="0.35">
      <c r="A205" s="14"/>
      <c r="B205" s="29"/>
      <c r="C205" s="13"/>
      <c r="D205" s="14"/>
      <c r="E205" s="13"/>
      <c r="F205" s="13"/>
      <c r="G205" s="30"/>
      <c r="H205" s="14"/>
      <c r="I205" s="30"/>
      <c r="J205" s="32"/>
      <c r="K205" s="14"/>
      <c r="L205" s="33"/>
      <c r="M205" s="33"/>
      <c r="N205" s="35"/>
      <c r="O205" s="13"/>
      <c r="P205" s="14"/>
      <c r="Q205" s="13"/>
      <c r="R205" s="13"/>
    </row>
    <row r="206" spans="1:18" x14ac:dyDescent="0.35">
      <c r="A206" s="14"/>
      <c r="B206" s="29"/>
      <c r="C206" s="13"/>
      <c r="D206" s="14"/>
      <c r="E206" s="13"/>
      <c r="F206" s="13"/>
      <c r="G206" s="30"/>
      <c r="H206" s="14"/>
      <c r="I206" s="30"/>
      <c r="J206" s="32"/>
      <c r="K206" s="14"/>
      <c r="L206" s="33"/>
      <c r="M206" s="33"/>
      <c r="N206" s="35"/>
      <c r="O206" s="13"/>
      <c r="P206" s="14"/>
      <c r="Q206" s="13"/>
      <c r="R206" s="13"/>
    </row>
    <row r="207" spans="1:18" x14ac:dyDescent="0.35">
      <c r="A207" s="14"/>
      <c r="B207" s="29"/>
      <c r="C207" s="13"/>
      <c r="D207" s="14"/>
      <c r="E207" s="13"/>
      <c r="F207" s="13"/>
      <c r="G207" s="30"/>
      <c r="H207" s="14"/>
      <c r="I207" s="30"/>
      <c r="J207" s="32"/>
      <c r="K207" s="14"/>
      <c r="L207" s="33"/>
      <c r="M207" s="33"/>
      <c r="N207" s="35"/>
      <c r="O207" s="13"/>
      <c r="P207" s="14"/>
      <c r="Q207" s="13"/>
      <c r="R207" s="13"/>
    </row>
    <row r="208" spans="1:18" x14ac:dyDescent="0.35">
      <c r="A208" s="14"/>
      <c r="B208" s="29"/>
      <c r="C208" s="13"/>
      <c r="D208" s="14"/>
      <c r="E208" s="13"/>
      <c r="F208" s="13"/>
      <c r="G208" s="30"/>
      <c r="H208" s="14"/>
      <c r="I208" s="30"/>
      <c r="J208" s="32"/>
      <c r="K208" s="14"/>
      <c r="L208" s="33"/>
      <c r="M208" s="33"/>
      <c r="N208" s="35"/>
      <c r="O208" s="13"/>
      <c r="P208" s="14"/>
      <c r="Q208" s="13"/>
      <c r="R208" s="13"/>
    </row>
    <row r="209" spans="1:18" x14ac:dyDescent="0.35">
      <c r="A209" s="14"/>
      <c r="B209" s="29"/>
      <c r="C209" s="13"/>
      <c r="D209" s="14"/>
      <c r="E209" s="13"/>
      <c r="F209" s="13"/>
      <c r="G209" s="30"/>
      <c r="H209" s="14"/>
      <c r="I209" s="30"/>
      <c r="J209" s="32"/>
      <c r="K209" s="14"/>
      <c r="L209" s="33"/>
      <c r="M209" s="33"/>
      <c r="N209" s="35"/>
      <c r="O209" s="13"/>
      <c r="P209" s="14"/>
      <c r="Q209" s="13"/>
      <c r="R209" s="13"/>
    </row>
    <row r="210" spans="1:18" x14ac:dyDescent="0.35">
      <c r="A210" s="14"/>
      <c r="B210" s="29"/>
      <c r="C210" s="13"/>
      <c r="D210" s="14"/>
      <c r="E210" s="13"/>
      <c r="F210" s="13"/>
      <c r="G210" s="30"/>
      <c r="H210" s="14"/>
      <c r="I210" s="30"/>
      <c r="J210" s="32"/>
      <c r="K210" s="14"/>
      <c r="L210" s="33"/>
      <c r="M210" s="33"/>
      <c r="N210" s="35"/>
      <c r="O210" s="13"/>
      <c r="P210" s="14"/>
      <c r="Q210" s="13"/>
      <c r="R210" s="13"/>
    </row>
    <row r="211" spans="1:18" x14ac:dyDescent="0.35">
      <c r="A211" s="14"/>
      <c r="B211" s="29"/>
      <c r="C211" s="13"/>
      <c r="D211" s="14"/>
      <c r="E211" s="13"/>
      <c r="F211" s="13"/>
      <c r="G211" s="30"/>
      <c r="H211" s="14"/>
      <c r="I211" s="30"/>
      <c r="J211" s="32"/>
      <c r="K211" s="14"/>
      <c r="L211" s="33"/>
      <c r="M211" s="33"/>
      <c r="N211" s="35"/>
      <c r="O211" s="13"/>
      <c r="P211" s="14"/>
      <c r="Q211" s="13"/>
      <c r="R211" s="13"/>
    </row>
    <row r="212" spans="1:18" x14ac:dyDescent="0.35">
      <c r="A212" s="14"/>
      <c r="B212" s="29"/>
      <c r="C212" s="13"/>
      <c r="D212" s="14"/>
      <c r="E212" s="13"/>
      <c r="F212" s="13"/>
      <c r="G212" s="30"/>
      <c r="H212" s="14"/>
      <c r="I212" s="30"/>
      <c r="J212" s="32"/>
      <c r="K212" s="14"/>
      <c r="L212" s="33"/>
      <c r="M212" s="33"/>
      <c r="N212" s="35"/>
      <c r="O212" s="13"/>
      <c r="P212" s="14"/>
      <c r="Q212" s="13"/>
      <c r="R212" s="13"/>
    </row>
    <row r="213" spans="1:18" x14ac:dyDescent="0.35">
      <c r="A213" s="14"/>
      <c r="B213" s="29"/>
      <c r="C213" s="13"/>
      <c r="D213" s="14"/>
      <c r="E213" s="13"/>
      <c r="F213" s="13"/>
      <c r="G213" s="30"/>
      <c r="H213" s="14"/>
      <c r="I213" s="30"/>
      <c r="J213" s="32"/>
      <c r="K213" s="14"/>
      <c r="L213" s="33"/>
      <c r="M213" s="33"/>
      <c r="N213" s="35"/>
      <c r="O213" s="13"/>
      <c r="P213" s="14"/>
      <c r="Q213" s="13"/>
      <c r="R213" s="13"/>
    </row>
    <row r="214" spans="1:18" x14ac:dyDescent="0.35">
      <c r="A214" s="14"/>
      <c r="B214" s="29"/>
      <c r="C214" s="13"/>
      <c r="D214" s="14"/>
      <c r="E214" s="13"/>
      <c r="F214" s="13"/>
      <c r="G214" s="30"/>
      <c r="H214" s="14"/>
      <c r="I214" s="30"/>
      <c r="J214" s="32"/>
      <c r="K214" s="14"/>
      <c r="L214" s="33"/>
      <c r="M214" s="33"/>
      <c r="N214" s="35"/>
      <c r="O214" s="13"/>
      <c r="P214" s="14"/>
      <c r="Q214" s="13"/>
      <c r="R214" s="13"/>
    </row>
    <row r="215" spans="1:18" x14ac:dyDescent="0.35">
      <c r="A215" s="14"/>
      <c r="B215" s="29"/>
      <c r="C215" s="13"/>
      <c r="D215" s="14"/>
      <c r="E215" s="13"/>
      <c r="F215" s="13"/>
      <c r="G215" s="30"/>
      <c r="H215" s="14"/>
      <c r="I215" s="30"/>
      <c r="J215" s="32"/>
      <c r="K215" s="14"/>
      <c r="L215" s="33"/>
      <c r="M215" s="33"/>
      <c r="N215" s="35"/>
      <c r="O215" s="13"/>
      <c r="P215" s="14"/>
      <c r="Q215" s="13"/>
      <c r="R215" s="13"/>
    </row>
    <row r="216" spans="1:18" x14ac:dyDescent="0.35">
      <c r="A216" s="14"/>
      <c r="B216" s="29"/>
      <c r="C216" s="13"/>
      <c r="D216" s="14"/>
      <c r="E216" s="13"/>
      <c r="F216" s="13"/>
      <c r="G216" s="30"/>
      <c r="H216" s="14"/>
      <c r="I216" s="30"/>
      <c r="J216" s="32"/>
      <c r="K216" s="14"/>
      <c r="L216" s="33"/>
      <c r="M216" s="33"/>
      <c r="N216" s="35"/>
      <c r="O216" s="13"/>
      <c r="P216" s="14"/>
      <c r="Q216" s="13"/>
      <c r="R216" s="13"/>
    </row>
    <row r="217" spans="1:18" x14ac:dyDescent="0.35">
      <c r="A217" s="14"/>
      <c r="B217" s="29"/>
      <c r="C217" s="13"/>
      <c r="D217" s="14"/>
      <c r="E217" s="13"/>
      <c r="F217" s="13"/>
      <c r="G217" s="30"/>
      <c r="H217" s="14"/>
      <c r="I217" s="30"/>
      <c r="J217" s="32"/>
      <c r="K217" s="14"/>
      <c r="L217" s="33"/>
      <c r="M217" s="33"/>
      <c r="N217" s="35"/>
      <c r="O217" s="13"/>
      <c r="P217" s="14"/>
      <c r="Q217" s="13"/>
      <c r="R217" s="13"/>
    </row>
    <row r="218" spans="1:18" x14ac:dyDescent="0.35">
      <c r="A218" s="14"/>
      <c r="B218" s="29"/>
      <c r="C218" s="13"/>
      <c r="D218" s="14"/>
      <c r="E218" s="13"/>
      <c r="F218" s="13"/>
      <c r="G218" s="30"/>
      <c r="H218" s="14"/>
      <c r="I218" s="30"/>
      <c r="J218" s="32"/>
      <c r="K218" s="14"/>
      <c r="L218" s="33"/>
      <c r="M218" s="33"/>
      <c r="N218" s="35"/>
      <c r="O218" s="13"/>
      <c r="P218" s="14"/>
      <c r="Q218" s="13"/>
      <c r="R218" s="13"/>
    </row>
    <row r="219" spans="1:18" x14ac:dyDescent="0.35">
      <c r="A219" s="14"/>
      <c r="B219" s="29"/>
      <c r="C219" s="13"/>
      <c r="D219" s="14"/>
      <c r="E219" s="13"/>
      <c r="F219" s="13"/>
      <c r="G219" s="30"/>
      <c r="H219" s="14"/>
      <c r="I219" s="30"/>
      <c r="J219" s="32"/>
      <c r="K219" s="14"/>
      <c r="L219" s="33"/>
      <c r="M219" s="33"/>
      <c r="N219" s="35"/>
      <c r="O219" s="13"/>
      <c r="P219" s="14"/>
      <c r="Q219" s="13"/>
      <c r="R219" s="13"/>
    </row>
    <row r="220" spans="1:18" x14ac:dyDescent="0.35">
      <c r="A220" s="14"/>
      <c r="B220" s="29"/>
      <c r="C220" s="13"/>
      <c r="D220" s="14"/>
      <c r="E220" s="13"/>
      <c r="F220" s="13"/>
      <c r="G220" s="30"/>
      <c r="H220" s="14"/>
      <c r="I220" s="30"/>
      <c r="J220" s="32"/>
      <c r="K220" s="14"/>
      <c r="L220" s="33"/>
      <c r="M220" s="33"/>
      <c r="N220" s="35"/>
      <c r="O220" s="13"/>
      <c r="P220" s="14"/>
      <c r="Q220" s="13"/>
      <c r="R220" s="13"/>
    </row>
    <row r="221" spans="1:18" x14ac:dyDescent="0.35">
      <c r="A221" s="14"/>
      <c r="B221" s="29"/>
      <c r="C221" s="13"/>
      <c r="D221" s="14"/>
      <c r="E221" s="13"/>
      <c r="F221" s="13"/>
      <c r="G221" s="30"/>
      <c r="H221" s="14"/>
      <c r="I221" s="30"/>
      <c r="J221" s="32"/>
      <c r="K221" s="14"/>
      <c r="L221" s="33"/>
      <c r="M221" s="33"/>
      <c r="N221" s="35"/>
      <c r="O221" s="13"/>
      <c r="P221" s="14"/>
      <c r="Q221" s="13"/>
      <c r="R221" s="13"/>
    </row>
    <row r="222" spans="1:18" x14ac:dyDescent="0.35">
      <c r="A222" s="14"/>
      <c r="B222" s="29"/>
      <c r="C222" s="13"/>
      <c r="D222" s="14"/>
      <c r="E222" s="13"/>
      <c r="F222" s="13"/>
      <c r="G222" s="30"/>
      <c r="H222" s="14"/>
      <c r="I222" s="30"/>
      <c r="J222" s="32"/>
      <c r="K222" s="14"/>
      <c r="L222" s="33"/>
      <c r="M222" s="33"/>
      <c r="N222" s="35"/>
      <c r="O222" s="13"/>
      <c r="P222" s="14"/>
      <c r="Q222" s="13"/>
      <c r="R222" s="13"/>
    </row>
    <row r="223" spans="1:18" x14ac:dyDescent="0.35">
      <c r="A223" s="14"/>
      <c r="B223" s="29"/>
      <c r="C223" s="13"/>
      <c r="D223" s="14"/>
      <c r="E223" s="13"/>
      <c r="F223" s="13"/>
      <c r="G223" s="30"/>
      <c r="H223" s="14"/>
      <c r="I223" s="30"/>
      <c r="J223" s="32"/>
      <c r="K223" s="14"/>
      <c r="L223" s="33"/>
      <c r="M223" s="33"/>
      <c r="N223" s="35"/>
      <c r="O223" s="13"/>
      <c r="P223" s="14"/>
      <c r="Q223" s="13"/>
      <c r="R223" s="13"/>
    </row>
    <row r="224" spans="1:18" x14ac:dyDescent="0.35">
      <c r="A224" s="14"/>
      <c r="B224" s="29"/>
      <c r="C224" s="13"/>
      <c r="D224" s="14"/>
      <c r="E224" s="13"/>
      <c r="F224" s="13"/>
      <c r="G224" s="30"/>
      <c r="H224" s="14"/>
      <c r="I224" s="30"/>
      <c r="J224" s="32"/>
      <c r="K224" s="14"/>
      <c r="L224" s="33"/>
      <c r="M224" s="33"/>
      <c r="N224" s="35"/>
      <c r="O224" s="13"/>
      <c r="P224" s="14"/>
      <c r="Q224" s="13"/>
      <c r="R224" s="13"/>
    </row>
    <row r="225" spans="1:18" x14ac:dyDescent="0.35">
      <c r="A225" s="14"/>
      <c r="B225" s="29"/>
      <c r="C225" s="13"/>
      <c r="D225" s="14"/>
      <c r="E225" s="13"/>
      <c r="F225" s="13"/>
      <c r="G225" s="30"/>
      <c r="H225" s="14"/>
      <c r="I225" s="30"/>
      <c r="J225" s="32"/>
      <c r="K225" s="14"/>
      <c r="L225" s="33"/>
      <c r="M225" s="33"/>
      <c r="N225" s="35"/>
      <c r="O225" s="13"/>
      <c r="P225" s="14"/>
      <c r="Q225" s="13"/>
      <c r="R225" s="13"/>
    </row>
    <row r="226" spans="1:18" x14ac:dyDescent="0.35">
      <c r="A226" s="14"/>
      <c r="B226" s="29"/>
      <c r="C226" s="13"/>
      <c r="D226" s="14"/>
      <c r="E226" s="13"/>
      <c r="F226" s="13"/>
      <c r="G226" s="30"/>
      <c r="H226" s="14"/>
      <c r="I226" s="30"/>
      <c r="J226" s="32"/>
      <c r="K226" s="14"/>
      <c r="L226" s="33"/>
      <c r="M226" s="33"/>
      <c r="N226" s="35"/>
      <c r="O226" s="13"/>
      <c r="P226" s="14"/>
      <c r="Q226" s="13"/>
      <c r="R226" s="13"/>
    </row>
    <row r="227" spans="1:18" x14ac:dyDescent="0.35">
      <c r="A227" s="14"/>
      <c r="B227" s="29"/>
      <c r="C227" s="13"/>
      <c r="D227" s="14"/>
      <c r="E227" s="13"/>
      <c r="F227" s="13"/>
      <c r="G227" s="30"/>
      <c r="H227" s="14"/>
      <c r="I227" s="30"/>
      <c r="J227" s="32"/>
      <c r="K227" s="14"/>
      <c r="L227" s="33"/>
      <c r="M227" s="33"/>
      <c r="N227" s="35"/>
      <c r="O227" s="13"/>
      <c r="P227" s="14"/>
      <c r="Q227" s="13"/>
      <c r="R227" s="13"/>
    </row>
    <row r="228" spans="1:18" x14ac:dyDescent="0.35">
      <c r="A228" s="14"/>
      <c r="B228" s="29"/>
      <c r="C228" s="13"/>
      <c r="D228" s="14"/>
      <c r="E228" s="13"/>
      <c r="F228" s="13"/>
      <c r="G228" s="30"/>
      <c r="H228" s="14"/>
      <c r="I228" s="30"/>
      <c r="J228" s="32"/>
      <c r="K228" s="14"/>
      <c r="L228" s="33"/>
      <c r="M228" s="33"/>
      <c r="N228" s="35"/>
      <c r="O228" s="13"/>
      <c r="P228" s="14"/>
      <c r="Q228" s="13"/>
      <c r="R228" s="13"/>
    </row>
    <row r="229" spans="1:18" x14ac:dyDescent="0.35">
      <c r="A229" s="14"/>
      <c r="B229" s="29"/>
      <c r="C229" s="13"/>
      <c r="D229" s="14"/>
      <c r="E229" s="13"/>
      <c r="F229" s="13"/>
      <c r="G229" s="30"/>
      <c r="H229" s="14"/>
      <c r="I229" s="30"/>
      <c r="J229" s="32"/>
      <c r="K229" s="14"/>
      <c r="L229" s="33"/>
      <c r="M229" s="33"/>
      <c r="N229" s="35"/>
      <c r="O229" s="13"/>
      <c r="P229" s="14"/>
      <c r="Q229" s="13"/>
      <c r="R229" s="13"/>
    </row>
    <row r="230" spans="1:18" x14ac:dyDescent="0.35">
      <c r="A230" s="14"/>
      <c r="B230" s="29"/>
      <c r="C230" s="13"/>
      <c r="D230" s="14"/>
      <c r="E230" s="13"/>
      <c r="F230" s="13"/>
      <c r="G230" s="30"/>
      <c r="H230" s="14"/>
      <c r="I230" s="30"/>
      <c r="J230" s="32"/>
      <c r="K230" s="14"/>
      <c r="L230" s="33"/>
      <c r="M230" s="33"/>
      <c r="N230" s="35"/>
      <c r="O230" s="13"/>
      <c r="P230" s="14"/>
      <c r="Q230" s="13"/>
      <c r="R230" s="13"/>
    </row>
    <row r="231" spans="1:18" x14ac:dyDescent="0.35">
      <c r="A231" s="14"/>
      <c r="B231" s="29"/>
      <c r="C231" s="13"/>
      <c r="D231" s="14"/>
      <c r="E231" s="13"/>
      <c r="F231" s="13"/>
      <c r="G231" s="30"/>
      <c r="H231" s="14"/>
      <c r="I231" s="30"/>
      <c r="J231" s="32"/>
      <c r="K231" s="14"/>
      <c r="L231" s="33"/>
      <c r="M231" s="33"/>
      <c r="N231" s="35"/>
      <c r="O231" s="13"/>
      <c r="P231" s="14"/>
      <c r="Q231" s="13"/>
      <c r="R231" s="13"/>
    </row>
    <row r="232" spans="1:18" x14ac:dyDescent="0.35">
      <c r="A232" s="14"/>
      <c r="B232" s="29"/>
      <c r="C232" s="13"/>
      <c r="D232" s="14"/>
      <c r="E232" s="13"/>
      <c r="F232" s="13"/>
      <c r="G232" s="30"/>
      <c r="H232" s="14"/>
      <c r="I232" s="30"/>
      <c r="J232" s="32"/>
      <c r="K232" s="14"/>
      <c r="L232" s="33"/>
      <c r="M232" s="33"/>
      <c r="N232" s="35"/>
      <c r="O232" s="13"/>
      <c r="P232" s="14"/>
      <c r="Q232" s="13"/>
      <c r="R232" s="13"/>
    </row>
    <row r="233" spans="1:18" x14ac:dyDescent="0.35">
      <c r="A233" s="14"/>
      <c r="B233" s="29"/>
      <c r="C233" s="13"/>
      <c r="D233" s="14"/>
      <c r="E233" s="13"/>
      <c r="F233" s="13"/>
      <c r="G233" s="30"/>
      <c r="H233" s="14"/>
      <c r="I233" s="30"/>
      <c r="J233" s="32"/>
      <c r="K233" s="14"/>
      <c r="L233" s="33"/>
      <c r="M233" s="33"/>
      <c r="N233" s="35"/>
      <c r="O233" s="13"/>
      <c r="P233" s="14"/>
      <c r="Q233" s="13"/>
      <c r="R233" s="13"/>
    </row>
    <row r="234" spans="1:18" x14ac:dyDescent="0.35">
      <c r="A234" s="14"/>
      <c r="B234" s="29"/>
      <c r="C234" s="13"/>
      <c r="D234" s="14"/>
      <c r="E234" s="13"/>
      <c r="F234" s="13"/>
      <c r="G234" s="30"/>
      <c r="H234" s="14"/>
      <c r="I234" s="30"/>
      <c r="J234" s="32"/>
      <c r="K234" s="14"/>
      <c r="L234" s="33"/>
      <c r="M234" s="33"/>
      <c r="N234" s="35"/>
      <c r="O234" s="13"/>
      <c r="P234" s="14"/>
      <c r="Q234" s="13"/>
      <c r="R234" s="13"/>
    </row>
    <row r="235" spans="1:18" x14ac:dyDescent="0.35">
      <c r="A235" s="14"/>
      <c r="B235" s="29"/>
      <c r="C235" s="13"/>
      <c r="D235" s="14"/>
      <c r="E235" s="13"/>
      <c r="F235" s="13"/>
      <c r="G235" s="30"/>
      <c r="H235" s="14"/>
      <c r="I235" s="30"/>
      <c r="J235" s="32"/>
      <c r="K235" s="14"/>
      <c r="L235" s="33"/>
      <c r="M235" s="33"/>
      <c r="N235" s="35"/>
      <c r="O235" s="13"/>
      <c r="P235" s="14"/>
      <c r="Q235" s="13"/>
      <c r="R235" s="13"/>
    </row>
    <row r="236" spans="1:18" x14ac:dyDescent="0.35">
      <c r="A236" s="14"/>
      <c r="B236" s="29"/>
      <c r="C236" s="13"/>
      <c r="D236" s="14"/>
      <c r="E236" s="13"/>
      <c r="F236" s="13"/>
      <c r="G236" s="30"/>
      <c r="H236" s="14"/>
      <c r="I236" s="30"/>
      <c r="J236" s="32"/>
      <c r="K236" s="14"/>
      <c r="L236" s="33"/>
      <c r="M236" s="33"/>
      <c r="N236" s="35"/>
      <c r="O236" s="13"/>
      <c r="P236" s="14"/>
      <c r="Q236" s="13"/>
      <c r="R236" s="13"/>
    </row>
    <row r="237" spans="1:18" x14ac:dyDescent="0.35">
      <c r="A237" s="14"/>
      <c r="B237" s="29"/>
      <c r="C237" s="13"/>
      <c r="D237" s="14"/>
      <c r="E237" s="13"/>
      <c r="F237" s="13"/>
      <c r="G237" s="30"/>
      <c r="H237" s="14"/>
      <c r="I237" s="30"/>
      <c r="J237" s="32"/>
      <c r="K237" s="14"/>
      <c r="L237" s="33"/>
      <c r="M237" s="33"/>
      <c r="N237" s="35"/>
      <c r="O237" s="13"/>
      <c r="P237" s="14"/>
      <c r="Q237" s="13"/>
      <c r="R237" s="13"/>
    </row>
    <row r="238" spans="1:18" x14ac:dyDescent="0.35">
      <c r="A238" s="14"/>
      <c r="B238" s="29"/>
      <c r="C238" s="13"/>
      <c r="D238" s="14"/>
      <c r="E238" s="13"/>
      <c r="F238" s="13"/>
      <c r="G238" s="30"/>
      <c r="H238" s="14"/>
      <c r="I238" s="30"/>
      <c r="J238" s="32"/>
      <c r="K238" s="14"/>
      <c r="L238" s="33"/>
      <c r="M238" s="33"/>
      <c r="N238" s="35"/>
      <c r="O238" s="13"/>
      <c r="P238" s="14"/>
      <c r="Q238" s="13"/>
      <c r="R238" s="13"/>
    </row>
    <row r="239" spans="1:18" x14ac:dyDescent="0.35">
      <c r="A239" s="14"/>
      <c r="B239" s="29"/>
      <c r="C239" s="13"/>
      <c r="D239" s="14"/>
      <c r="E239" s="13"/>
      <c r="F239" s="13"/>
      <c r="G239" s="30"/>
      <c r="H239" s="14"/>
      <c r="I239" s="30"/>
      <c r="J239" s="32"/>
      <c r="K239" s="14"/>
      <c r="L239" s="33"/>
      <c r="M239" s="33"/>
      <c r="N239" s="35"/>
      <c r="O239" s="13"/>
      <c r="P239" s="14"/>
      <c r="Q239" s="13"/>
      <c r="R239" s="13"/>
    </row>
    <row r="240" spans="1:18" x14ac:dyDescent="0.35">
      <c r="A240" s="14"/>
      <c r="B240" s="29"/>
      <c r="C240" s="13"/>
      <c r="D240" s="14"/>
      <c r="E240" s="13"/>
      <c r="F240" s="13"/>
      <c r="G240" s="30"/>
      <c r="H240" s="14"/>
      <c r="I240" s="30"/>
      <c r="J240" s="32"/>
      <c r="K240" s="14"/>
      <c r="L240" s="33"/>
      <c r="M240" s="33"/>
      <c r="N240" s="35"/>
      <c r="O240" s="13"/>
      <c r="P240" s="14"/>
      <c r="Q240" s="13"/>
      <c r="R240" s="13"/>
    </row>
    <row r="241" spans="1:18" x14ac:dyDescent="0.35">
      <c r="A241" s="14"/>
      <c r="B241" s="29"/>
      <c r="C241" s="13"/>
      <c r="D241" s="14"/>
      <c r="E241" s="13"/>
      <c r="F241" s="13"/>
      <c r="G241" s="30"/>
      <c r="H241" s="14"/>
      <c r="I241" s="30"/>
      <c r="J241" s="32"/>
      <c r="K241" s="14"/>
      <c r="L241" s="33"/>
      <c r="M241" s="33"/>
      <c r="N241" s="35"/>
      <c r="O241" s="13"/>
      <c r="P241" s="14"/>
      <c r="Q241" s="13"/>
      <c r="R241" s="13"/>
    </row>
    <row r="242" spans="1:18" x14ac:dyDescent="0.35">
      <c r="A242" s="14"/>
      <c r="B242" s="29"/>
      <c r="C242" s="13"/>
      <c r="D242" s="14"/>
      <c r="E242" s="13"/>
      <c r="F242" s="13"/>
      <c r="G242" s="30"/>
      <c r="H242" s="14"/>
      <c r="I242" s="30"/>
      <c r="J242" s="32"/>
      <c r="K242" s="14"/>
      <c r="L242" s="33"/>
      <c r="M242" s="33"/>
      <c r="N242" s="35"/>
      <c r="O242" s="13"/>
      <c r="P242" s="14"/>
      <c r="Q242" s="13"/>
      <c r="R242" s="13"/>
    </row>
    <row r="243" spans="1:18" x14ac:dyDescent="0.35">
      <c r="A243" s="14"/>
      <c r="B243" s="29"/>
      <c r="C243" s="13"/>
      <c r="D243" s="14"/>
      <c r="E243" s="13"/>
      <c r="F243" s="13"/>
      <c r="G243" s="30"/>
      <c r="H243" s="14"/>
      <c r="I243" s="30"/>
      <c r="J243" s="32"/>
      <c r="K243" s="14"/>
      <c r="L243" s="33"/>
      <c r="M243" s="33"/>
      <c r="N243" s="35"/>
      <c r="O243" s="13"/>
      <c r="P243" s="14"/>
      <c r="Q243" s="13"/>
      <c r="R243" s="13"/>
    </row>
    <row r="244" spans="1:18" x14ac:dyDescent="0.35">
      <c r="A244" s="14"/>
      <c r="B244" s="29"/>
      <c r="C244" s="13"/>
      <c r="D244" s="14"/>
      <c r="E244" s="13"/>
      <c r="F244" s="13"/>
      <c r="G244" s="30"/>
      <c r="H244" s="14"/>
      <c r="I244" s="30"/>
      <c r="J244" s="32"/>
      <c r="K244" s="14"/>
      <c r="L244" s="33"/>
      <c r="M244" s="33"/>
      <c r="N244" s="35"/>
      <c r="O244" s="13"/>
      <c r="P244" s="14"/>
      <c r="Q244" s="13"/>
      <c r="R244" s="13"/>
    </row>
    <row r="245" spans="1:18" x14ac:dyDescent="0.35">
      <c r="A245" s="14"/>
      <c r="B245" s="29"/>
      <c r="C245" s="13"/>
      <c r="D245" s="14"/>
      <c r="E245" s="13"/>
      <c r="F245" s="13"/>
      <c r="G245" s="30"/>
      <c r="H245" s="14"/>
      <c r="I245" s="30"/>
      <c r="J245" s="32"/>
      <c r="K245" s="14"/>
      <c r="L245" s="33"/>
      <c r="M245" s="33"/>
      <c r="N245" s="35"/>
      <c r="O245" s="13"/>
      <c r="P245" s="14"/>
      <c r="Q245" s="13"/>
      <c r="R245" s="13"/>
    </row>
    <row r="246" spans="1:18" x14ac:dyDescent="0.35">
      <c r="A246" s="14"/>
      <c r="B246" s="29"/>
      <c r="C246" s="13"/>
      <c r="D246" s="14"/>
      <c r="E246" s="13"/>
      <c r="F246" s="13"/>
      <c r="G246" s="30"/>
      <c r="H246" s="14"/>
      <c r="I246" s="30"/>
      <c r="J246" s="32"/>
      <c r="K246" s="14"/>
      <c r="L246" s="33"/>
      <c r="M246" s="33"/>
      <c r="N246" s="35"/>
      <c r="O246" s="13"/>
      <c r="P246" s="14"/>
      <c r="Q246" s="13"/>
      <c r="R246" s="13"/>
    </row>
    <row r="247" spans="1:18" x14ac:dyDescent="0.35">
      <c r="A247" s="14"/>
      <c r="B247" s="29"/>
      <c r="C247" s="13"/>
      <c r="D247" s="14"/>
      <c r="E247" s="13"/>
      <c r="F247" s="13"/>
      <c r="G247" s="30"/>
      <c r="H247" s="14"/>
      <c r="I247" s="30"/>
      <c r="J247" s="32"/>
      <c r="K247" s="14"/>
      <c r="L247" s="33"/>
      <c r="M247" s="33"/>
      <c r="N247" s="35"/>
      <c r="O247" s="13"/>
      <c r="P247" s="14"/>
      <c r="Q247" s="13"/>
      <c r="R247" s="13"/>
    </row>
    <row r="248" spans="1:18" x14ac:dyDescent="0.35">
      <c r="A248" s="14"/>
      <c r="B248" s="29"/>
      <c r="C248" s="13"/>
      <c r="D248" s="14"/>
      <c r="E248" s="13"/>
      <c r="F248" s="13"/>
      <c r="G248" s="30"/>
      <c r="H248" s="14"/>
      <c r="I248" s="30"/>
      <c r="J248" s="32"/>
      <c r="K248" s="14"/>
      <c r="L248" s="33"/>
      <c r="M248" s="33"/>
      <c r="N248" s="35"/>
      <c r="O248" s="13"/>
      <c r="P248" s="14"/>
      <c r="Q248" s="13"/>
      <c r="R248" s="13"/>
    </row>
    <row r="249" spans="1:18" x14ac:dyDescent="0.35">
      <c r="A249" s="14"/>
      <c r="B249" s="29"/>
      <c r="C249" s="13"/>
      <c r="D249" s="14"/>
      <c r="E249" s="13"/>
      <c r="F249" s="13"/>
      <c r="G249" s="30"/>
      <c r="H249" s="14"/>
      <c r="I249" s="30"/>
      <c r="J249" s="32"/>
      <c r="K249" s="14"/>
      <c r="L249" s="33"/>
      <c r="M249" s="33"/>
      <c r="N249" s="35"/>
      <c r="O249" s="13"/>
      <c r="P249" s="14"/>
      <c r="Q249" s="13"/>
      <c r="R249" s="13"/>
    </row>
    <row r="250" spans="1:18" x14ac:dyDescent="0.35">
      <c r="A250" s="14"/>
      <c r="B250" s="29"/>
      <c r="C250" s="13"/>
      <c r="D250" s="14"/>
      <c r="E250" s="13"/>
      <c r="F250" s="13"/>
      <c r="G250" s="30"/>
      <c r="H250" s="14"/>
      <c r="I250" s="30"/>
      <c r="J250" s="32"/>
      <c r="K250" s="14"/>
      <c r="L250" s="33"/>
      <c r="M250" s="33"/>
      <c r="N250" s="35"/>
      <c r="O250" s="13"/>
      <c r="P250" s="14"/>
      <c r="Q250" s="13"/>
      <c r="R250" s="13"/>
    </row>
    <row r="251" spans="1:18" x14ac:dyDescent="0.35">
      <c r="A251" s="14"/>
      <c r="B251" s="29"/>
      <c r="C251" s="13"/>
      <c r="D251" s="14"/>
      <c r="E251" s="13"/>
      <c r="F251" s="13"/>
      <c r="G251" s="30"/>
      <c r="H251" s="14"/>
      <c r="I251" s="30"/>
      <c r="J251" s="32"/>
      <c r="K251" s="14"/>
      <c r="L251" s="33"/>
      <c r="M251" s="33"/>
      <c r="N251" s="35"/>
      <c r="O251" s="13"/>
      <c r="P251" s="14"/>
      <c r="Q251" s="13"/>
      <c r="R251" s="13"/>
    </row>
    <row r="252" spans="1:18" x14ac:dyDescent="0.35">
      <c r="A252" s="14"/>
      <c r="B252" s="29"/>
      <c r="C252" s="13"/>
      <c r="D252" s="14"/>
      <c r="E252" s="13"/>
      <c r="F252" s="13"/>
      <c r="G252" s="30"/>
      <c r="H252" s="14"/>
      <c r="I252" s="30"/>
      <c r="J252" s="32"/>
      <c r="K252" s="14"/>
      <c r="L252" s="33"/>
      <c r="M252" s="33"/>
      <c r="N252" s="35"/>
      <c r="O252" s="13"/>
      <c r="P252" s="14"/>
      <c r="Q252" s="13"/>
      <c r="R252" s="13"/>
    </row>
    <row r="253" spans="1:18" x14ac:dyDescent="0.35">
      <c r="A253" s="14"/>
      <c r="B253" s="29"/>
      <c r="C253" s="13"/>
      <c r="D253" s="14"/>
      <c r="E253" s="13"/>
      <c r="F253" s="13"/>
      <c r="G253" s="30"/>
      <c r="H253" s="14"/>
      <c r="I253" s="30"/>
      <c r="J253" s="32"/>
      <c r="K253" s="14"/>
      <c r="L253" s="33"/>
      <c r="M253" s="33"/>
      <c r="N253" s="35"/>
      <c r="O253" s="13"/>
      <c r="P253" s="14"/>
      <c r="Q253" s="13"/>
      <c r="R253" s="13"/>
    </row>
    <row r="254" spans="1:18" x14ac:dyDescent="0.35">
      <c r="A254" s="14"/>
      <c r="B254" s="29"/>
      <c r="C254" s="13"/>
      <c r="D254" s="14"/>
      <c r="E254" s="13"/>
      <c r="F254" s="13"/>
      <c r="G254" s="30"/>
      <c r="H254" s="14"/>
      <c r="I254" s="30"/>
      <c r="J254" s="32"/>
      <c r="K254" s="14"/>
      <c r="L254" s="33"/>
      <c r="M254" s="33"/>
      <c r="N254" s="35"/>
      <c r="O254" s="13"/>
      <c r="P254" s="14"/>
      <c r="Q254" s="13"/>
      <c r="R254" s="13"/>
    </row>
    <row r="255" spans="1:18" x14ac:dyDescent="0.35">
      <c r="A255" s="14"/>
      <c r="B255" s="29"/>
      <c r="C255" s="13"/>
      <c r="D255" s="14"/>
      <c r="E255" s="13"/>
      <c r="F255" s="13"/>
      <c r="G255" s="30"/>
      <c r="H255" s="14"/>
      <c r="I255" s="30"/>
      <c r="J255" s="32"/>
      <c r="K255" s="14"/>
      <c r="L255" s="33"/>
      <c r="M255" s="33"/>
      <c r="N255" s="35"/>
      <c r="O255" s="13"/>
      <c r="P255" s="14"/>
      <c r="Q255" s="13"/>
      <c r="R255" s="13"/>
    </row>
    <row r="256" spans="1:18" x14ac:dyDescent="0.35">
      <c r="A256" s="14"/>
      <c r="B256" s="29"/>
      <c r="C256" s="13"/>
      <c r="D256" s="14"/>
      <c r="E256" s="13"/>
      <c r="F256" s="13"/>
      <c r="G256" s="30"/>
      <c r="H256" s="14"/>
      <c r="I256" s="30"/>
      <c r="J256" s="32"/>
      <c r="K256" s="14"/>
      <c r="L256" s="33"/>
      <c r="M256" s="33"/>
      <c r="N256" s="35"/>
      <c r="O256" s="13"/>
      <c r="P256" s="14"/>
      <c r="Q256" s="13"/>
      <c r="R256" s="13"/>
    </row>
    <row r="257" spans="1:18" x14ac:dyDescent="0.35">
      <c r="A257" s="14"/>
      <c r="B257" s="29"/>
      <c r="C257" s="13"/>
      <c r="D257" s="14"/>
      <c r="E257" s="13"/>
      <c r="F257" s="13"/>
      <c r="G257" s="30"/>
      <c r="H257" s="14"/>
      <c r="I257" s="30"/>
      <c r="J257" s="32"/>
      <c r="K257" s="14"/>
      <c r="L257" s="33"/>
      <c r="M257" s="33"/>
      <c r="N257" s="35"/>
      <c r="O257" s="13"/>
      <c r="P257" s="14"/>
      <c r="Q257" s="13"/>
      <c r="R257" s="13"/>
    </row>
    <row r="258" spans="1:18" x14ac:dyDescent="0.35">
      <c r="A258" s="14"/>
      <c r="B258" s="29"/>
      <c r="C258" s="13"/>
      <c r="D258" s="14"/>
      <c r="E258" s="13"/>
      <c r="F258" s="13"/>
      <c r="G258" s="30"/>
      <c r="H258" s="14"/>
      <c r="I258" s="30"/>
      <c r="J258" s="32"/>
      <c r="K258" s="14"/>
      <c r="L258" s="33"/>
      <c r="M258" s="33"/>
      <c r="N258" s="35"/>
      <c r="O258" s="13"/>
      <c r="P258" s="14"/>
      <c r="Q258" s="13"/>
      <c r="R258" s="13"/>
    </row>
    <row r="259" spans="1:18" x14ac:dyDescent="0.35">
      <c r="A259" s="14"/>
      <c r="B259" s="29"/>
      <c r="C259" s="13"/>
      <c r="D259" s="14"/>
      <c r="E259" s="13"/>
      <c r="F259" s="13"/>
      <c r="G259" s="30"/>
      <c r="H259" s="14"/>
      <c r="I259" s="30"/>
      <c r="J259" s="32"/>
      <c r="K259" s="14"/>
      <c r="L259" s="33"/>
      <c r="M259" s="33"/>
      <c r="N259" s="35"/>
      <c r="O259" s="13"/>
      <c r="P259" s="14"/>
      <c r="Q259" s="13"/>
      <c r="R259" s="13"/>
    </row>
    <row r="260" spans="1:18" x14ac:dyDescent="0.35">
      <c r="A260" s="14"/>
      <c r="B260" s="29"/>
      <c r="C260" s="13"/>
      <c r="D260" s="14"/>
      <c r="E260" s="13"/>
      <c r="F260" s="13"/>
      <c r="G260" s="30"/>
      <c r="H260" s="14"/>
      <c r="I260" s="30"/>
      <c r="J260" s="32"/>
      <c r="K260" s="14"/>
      <c r="L260" s="33"/>
      <c r="M260" s="33"/>
      <c r="N260" s="35"/>
      <c r="O260" s="13"/>
      <c r="P260" s="14"/>
      <c r="Q260" s="13"/>
      <c r="R260" s="13"/>
    </row>
    <row r="261" spans="1:18" x14ac:dyDescent="0.35">
      <c r="A261" s="14"/>
      <c r="B261" s="29"/>
      <c r="C261" s="13"/>
      <c r="D261" s="14"/>
      <c r="E261" s="13"/>
      <c r="F261" s="13"/>
      <c r="G261" s="30"/>
      <c r="H261" s="14"/>
      <c r="I261" s="30"/>
      <c r="J261" s="32"/>
      <c r="K261" s="14"/>
      <c r="L261" s="33"/>
      <c r="M261" s="33"/>
      <c r="N261" s="35"/>
      <c r="O261" s="13"/>
      <c r="P261" s="14"/>
      <c r="Q261" s="13"/>
      <c r="R261" s="13"/>
    </row>
    <row r="262" spans="1:18" x14ac:dyDescent="0.35">
      <c r="A262" s="14"/>
      <c r="B262" s="29"/>
      <c r="C262" s="13"/>
      <c r="D262" s="14"/>
      <c r="E262" s="13"/>
      <c r="F262" s="13"/>
      <c r="G262" s="30"/>
      <c r="H262" s="14"/>
      <c r="I262" s="30"/>
      <c r="J262" s="32"/>
      <c r="K262" s="14"/>
      <c r="L262" s="33"/>
      <c r="M262" s="33"/>
      <c r="N262" s="35"/>
      <c r="O262" s="13"/>
      <c r="P262" s="14"/>
      <c r="Q262" s="13"/>
      <c r="R262" s="13"/>
    </row>
    <row r="263" spans="1:18" x14ac:dyDescent="0.35">
      <c r="A263" s="14"/>
      <c r="B263" s="29"/>
      <c r="C263" s="13"/>
      <c r="D263" s="14"/>
      <c r="E263" s="13"/>
      <c r="F263" s="13"/>
      <c r="G263" s="30"/>
      <c r="H263" s="14"/>
      <c r="I263" s="30"/>
      <c r="J263" s="32"/>
      <c r="K263" s="14"/>
      <c r="L263" s="33"/>
      <c r="M263" s="33"/>
      <c r="N263" s="35"/>
      <c r="O263" s="13"/>
      <c r="P263" s="14"/>
      <c r="Q263" s="13"/>
      <c r="R263" s="13"/>
    </row>
    <row r="264" spans="1:18" x14ac:dyDescent="0.35">
      <c r="A264" s="14"/>
      <c r="B264" s="29"/>
      <c r="C264" s="13"/>
      <c r="D264" s="14"/>
      <c r="E264" s="13"/>
      <c r="F264" s="13"/>
      <c r="G264" s="30"/>
      <c r="H264" s="14"/>
      <c r="I264" s="30"/>
      <c r="J264" s="32"/>
      <c r="K264" s="14"/>
      <c r="L264" s="33"/>
      <c r="M264" s="33"/>
      <c r="N264" s="35"/>
      <c r="O264" s="13"/>
      <c r="P264" s="14"/>
      <c r="Q264" s="13"/>
      <c r="R264" s="13"/>
    </row>
    <row r="265" spans="1:18" x14ac:dyDescent="0.35">
      <c r="A265" s="14"/>
      <c r="B265" s="29"/>
      <c r="C265" s="13"/>
      <c r="D265" s="14"/>
      <c r="E265" s="13"/>
      <c r="F265" s="13"/>
      <c r="G265" s="30"/>
      <c r="H265" s="14"/>
      <c r="I265" s="30"/>
      <c r="J265" s="32"/>
      <c r="K265" s="14"/>
      <c r="L265" s="33"/>
      <c r="M265" s="33"/>
      <c r="N265" s="35"/>
      <c r="O265" s="13"/>
      <c r="P265" s="14"/>
      <c r="Q265" s="13"/>
      <c r="R265" s="13"/>
    </row>
    <row r="266" spans="1:18" x14ac:dyDescent="0.35">
      <c r="A266" s="14"/>
      <c r="B266" s="29"/>
      <c r="C266" s="13"/>
      <c r="D266" s="14"/>
      <c r="E266" s="13"/>
      <c r="F266" s="13"/>
      <c r="G266" s="30"/>
      <c r="H266" s="14"/>
      <c r="I266" s="30"/>
      <c r="J266" s="32"/>
      <c r="K266" s="14"/>
      <c r="L266" s="33"/>
      <c r="M266" s="33"/>
      <c r="N266" s="35"/>
      <c r="O266" s="13"/>
      <c r="P266" s="14"/>
      <c r="Q266" s="13"/>
      <c r="R266" s="13"/>
    </row>
    <row r="267" spans="1:18" x14ac:dyDescent="0.35">
      <c r="A267" s="14"/>
      <c r="B267" s="29"/>
      <c r="C267" s="13"/>
      <c r="D267" s="14"/>
      <c r="E267" s="13"/>
      <c r="F267" s="13"/>
      <c r="G267" s="30"/>
      <c r="H267" s="14"/>
      <c r="I267" s="30"/>
      <c r="J267" s="32"/>
      <c r="K267" s="14"/>
      <c r="L267" s="33"/>
      <c r="M267" s="33"/>
      <c r="N267" s="35"/>
      <c r="O267" s="13"/>
      <c r="P267" s="14"/>
      <c r="Q267" s="13"/>
      <c r="R267" s="13"/>
    </row>
    <row r="268" spans="1:18" x14ac:dyDescent="0.35">
      <c r="A268" s="14"/>
      <c r="B268" s="29"/>
      <c r="C268" s="13"/>
      <c r="D268" s="14"/>
      <c r="E268" s="13"/>
      <c r="F268" s="13"/>
      <c r="G268" s="30"/>
      <c r="H268" s="14"/>
      <c r="I268" s="30"/>
      <c r="J268" s="32"/>
      <c r="K268" s="14"/>
      <c r="L268" s="33"/>
      <c r="M268" s="33"/>
      <c r="N268" s="35"/>
      <c r="O268" s="13"/>
      <c r="P268" s="14"/>
      <c r="Q268" s="13"/>
      <c r="R268" s="13"/>
    </row>
    <row r="269" spans="1:18" x14ac:dyDescent="0.35">
      <c r="A269" s="14"/>
      <c r="B269" s="29"/>
      <c r="C269" s="13"/>
      <c r="D269" s="14"/>
      <c r="E269" s="13"/>
      <c r="F269" s="13"/>
      <c r="G269" s="30"/>
      <c r="H269" s="14"/>
      <c r="I269" s="30"/>
      <c r="J269" s="32"/>
      <c r="K269" s="14"/>
      <c r="L269" s="33"/>
      <c r="M269" s="33"/>
      <c r="N269" s="35"/>
      <c r="O269" s="13"/>
      <c r="P269" s="14"/>
      <c r="Q269" s="13"/>
      <c r="R269" s="13"/>
    </row>
    <row r="270" spans="1:18" x14ac:dyDescent="0.35">
      <c r="A270" s="14"/>
      <c r="B270" s="29"/>
      <c r="C270" s="13"/>
      <c r="D270" s="14"/>
      <c r="E270" s="13"/>
      <c r="F270" s="13"/>
      <c r="G270" s="30"/>
      <c r="H270" s="14"/>
      <c r="I270" s="30"/>
      <c r="J270" s="32"/>
      <c r="K270" s="14"/>
      <c r="L270" s="33"/>
      <c r="M270" s="33"/>
      <c r="N270" s="35"/>
      <c r="O270" s="13"/>
      <c r="P270" s="14"/>
      <c r="Q270" s="13"/>
      <c r="R270" s="13"/>
    </row>
    <row r="271" spans="1:18" x14ac:dyDescent="0.35">
      <c r="A271" s="14"/>
      <c r="B271" s="29"/>
      <c r="C271" s="13"/>
      <c r="D271" s="14"/>
      <c r="E271" s="13"/>
      <c r="F271" s="13"/>
      <c r="G271" s="30"/>
      <c r="H271" s="14"/>
      <c r="I271" s="30"/>
      <c r="J271" s="32"/>
      <c r="K271" s="14"/>
      <c r="L271" s="33"/>
      <c r="M271" s="33"/>
      <c r="N271" s="35"/>
      <c r="O271" s="13"/>
      <c r="P271" s="14"/>
      <c r="Q271" s="13"/>
      <c r="R271" s="13"/>
    </row>
    <row r="272" spans="1:18" x14ac:dyDescent="0.35">
      <c r="A272" s="14"/>
      <c r="B272" s="29"/>
      <c r="C272" s="13"/>
      <c r="D272" s="14"/>
      <c r="E272" s="13"/>
      <c r="F272" s="13"/>
      <c r="G272" s="30"/>
      <c r="H272" s="14"/>
      <c r="I272" s="30"/>
      <c r="J272" s="32"/>
      <c r="K272" s="14"/>
      <c r="L272" s="33"/>
      <c r="M272" s="33"/>
      <c r="N272" s="35"/>
      <c r="O272" s="13"/>
      <c r="P272" s="14"/>
      <c r="Q272" s="13"/>
      <c r="R272" s="13"/>
    </row>
    <row r="273" spans="1:18" x14ac:dyDescent="0.35">
      <c r="A273" s="14"/>
      <c r="B273" s="29"/>
      <c r="C273" s="13"/>
      <c r="D273" s="14"/>
      <c r="E273" s="13"/>
      <c r="F273" s="13"/>
      <c r="G273" s="30"/>
      <c r="H273" s="14"/>
      <c r="I273" s="30"/>
      <c r="J273" s="32"/>
      <c r="K273" s="14"/>
      <c r="L273" s="33"/>
      <c r="M273" s="33"/>
      <c r="N273" s="35"/>
      <c r="O273" s="13"/>
      <c r="P273" s="14"/>
      <c r="Q273" s="13"/>
      <c r="R273" s="13"/>
    </row>
    <row r="274" spans="1:18" x14ac:dyDescent="0.35">
      <c r="A274" s="14"/>
      <c r="B274" s="29"/>
      <c r="C274" s="13"/>
      <c r="D274" s="14"/>
      <c r="E274" s="13"/>
      <c r="F274" s="13"/>
      <c r="G274" s="30"/>
      <c r="H274" s="14"/>
      <c r="I274" s="30"/>
      <c r="J274" s="32"/>
      <c r="K274" s="14"/>
      <c r="L274" s="33"/>
      <c r="M274" s="33"/>
      <c r="N274" s="35"/>
      <c r="O274" s="13"/>
      <c r="P274" s="14"/>
      <c r="Q274" s="13"/>
      <c r="R274" s="13"/>
    </row>
    <row r="275" spans="1:18" x14ac:dyDescent="0.35">
      <c r="A275" s="14"/>
      <c r="B275" s="29"/>
      <c r="C275" s="13"/>
      <c r="D275" s="14"/>
      <c r="E275" s="13"/>
      <c r="F275" s="13"/>
      <c r="G275" s="30"/>
      <c r="H275" s="14"/>
      <c r="I275" s="30"/>
      <c r="J275" s="32"/>
      <c r="K275" s="14"/>
      <c r="L275" s="33"/>
      <c r="M275" s="33"/>
      <c r="N275" s="35"/>
      <c r="O275" s="13"/>
      <c r="P275" s="14"/>
      <c r="Q275" s="13"/>
      <c r="R275" s="13"/>
    </row>
    <row r="276" spans="1:18" x14ac:dyDescent="0.35">
      <c r="A276" s="14"/>
      <c r="B276" s="29"/>
      <c r="C276" s="13"/>
      <c r="D276" s="14"/>
      <c r="E276" s="13"/>
      <c r="F276" s="13"/>
      <c r="G276" s="30"/>
      <c r="H276" s="14"/>
      <c r="I276" s="30"/>
      <c r="J276" s="32"/>
      <c r="K276" s="14"/>
      <c r="L276" s="33"/>
      <c r="M276" s="33"/>
      <c r="N276" s="35"/>
      <c r="O276" s="13"/>
      <c r="P276" s="14"/>
      <c r="Q276" s="13"/>
      <c r="R276" s="13"/>
    </row>
    <row r="277" spans="1:18" x14ac:dyDescent="0.35">
      <c r="A277" s="14"/>
      <c r="B277" s="29"/>
      <c r="C277" s="13"/>
      <c r="D277" s="14"/>
      <c r="E277" s="13"/>
      <c r="F277" s="13"/>
      <c r="G277" s="30"/>
      <c r="H277" s="14"/>
      <c r="I277" s="30"/>
      <c r="J277" s="32"/>
      <c r="K277" s="14"/>
      <c r="L277" s="33"/>
      <c r="M277" s="33"/>
      <c r="N277" s="35"/>
      <c r="O277" s="13"/>
      <c r="P277" s="14"/>
      <c r="Q277" s="13"/>
      <c r="R277" s="13"/>
    </row>
    <row r="278" spans="1:18" x14ac:dyDescent="0.35">
      <c r="A278" s="14"/>
      <c r="B278" s="29"/>
      <c r="C278" s="13"/>
      <c r="D278" s="14"/>
      <c r="E278" s="13"/>
      <c r="F278" s="13"/>
      <c r="G278" s="30"/>
      <c r="H278" s="14"/>
      <c r="I278" s="30"/>
      <c r="J278" s="32"/>
      <c r="K278" s="14"/>
      <c r="L278" s="33"/>
      <c r="M278" s="33"/>
      <c r="N278" s="35"/>
      <c r="O278" s="13"/>
      <c r="P278" s="14"/>
      <c r="Q278" s="13"/>
      <c r="R278" s="13"/>
    </row>
    <row r="279" spans="1:18" x14ac:dyDescent="0.35">
      <c r="A279" s="14"/>
      <c r="B279" s="29"/>
      <c r="C279" s="13"/>
      <c r="D279" s="14"/>
      <c r="E279" s="13"/>
      <c r="F279" s="13"/>
      <c r="G279" s="30"/>
      <c r="H279" s="14"/>
      <c r="I279" s="30"/>
      <c r="J279" s="32"/>
      <c r="K279" s="14"/>
      <c r="L279" s="33"/>
      <c r="M279" s="33"/>
      <c r="N279" s="35"/>
      <c r="O279" s="13"/>
      <c r="P279" s="14"/>
      <c r="Q279" s="13"/>
      <c r="R279" s="13"/>
    </row>
    <row r="280" spans="1:18" x14ac:dyDescent="0.35">
      <c r="A280" s="14"/>
      <c r="B280" s="29"/>
      <c r="C280" s="13"/>
      <c r="D280" s="14"/>
      <c r="E280" s="13"/>
      <c r="F280" s="13"/>
      <c r="G280" s="30"/>
      <c r="H280" s="14"/>
      <c r="I280" s="30"/>
      <c r="J280" s="32"/>
      <c r="K280" s="14"/>
      <c r="L280" s="33"/>
      <c r="M280" s="33"/>
      <c r="N280" s="35"/>
      <c r="O280" s="13"/>
      <c r="P280" s="14"/>
      <c r="Q280" s="13"/>
      <c r="R280" s="13"/>
    </row>
    <row r="281" spans="1:18" x14ac:dyDescent="0.35">
      <c r="A281" s="14"/>
      <c r="B281" s="29"/>
      <c r="C281" s="13"/>
      <c r="D281" s="14"/>
      <c r="E281" s="13"/>
      <c r="F281" s="13"/>
      <c r="G281" s="30"/>
      <c r="H281" s="14"/>
      <c r="I281" s="30"/>
      <c r="J281" s="32"/>
      <c r="K281" s="14"/>
      <c r="L281" s="33"/>
      <c r="M281" s="33"/>
      <c r="N281" s="35"/>
      <c r="O281" s="13"/>
      <c r="P281" s="14"/>
      <c r="Q281" s="13"/>
      <c r="R281" s="13"/>
    </row>
    <row r="282" spans="1:18" x14ac:dyDescent="0.35">
      <c r="A282" s="14"/>
      <c r="B282" s="29"/>
      <c r="C282" s="13"/>
      <c r="D282" s="14"/>
      <c r="E282" s="13"/>
      <c r="F282" s="13"/>
      <c r="G282" s="30"/>
      <c r="H282" s="14"/>
      <c r="I282" s="30"/>
      <c r="J282" s="32"/>
      <c r="K282" s="14"/>
      <c r="L282" s="33"/>
      <c r="M282" s="33"/>
      <c r="N282" s="35"/>
      <c r="O282" s="13"/>
      <c r="P282" s="14"/>
      <c r="Q282" s="13"/>
      <c r="R282" s="13"/>
    </row>
    <row r="283" spans="1:18" x14ac:dyDescent="0.35">
      <c r="A283" s="14"/>
      <c r="B283" s="29"/>
      <c r="C283" s="13"/>
      <c r="D283" s="14"/>
      <c r="E283" s="13"/>
      <c r="F283" s="13"/>
      <c r="G283" s="30"/>
      <c r="H283" s="14"/>
      <c r="I283" s="30"/>
      <c r="J283" s="32"/>
      <c r="K283" s="14"/>
      <c r="L283" s="33"/>
      <c r="M283" s="33"/>
      <c r="N283" s="35"/>
      <c r="O283" s="13"/>
      <c r="P283" s="14"/>
      <c r="Q283" s="13"/>
      <c r="R283" s="13"/>
    </row>
    <row r="284" spans="1:18" x14ac:dyDescent="0.35">
      <c r="A284" s="14"/>
      <c r="B284" s="29"/>
      <c r="C284" s="13"/>
      <c r="D284" s="14"/>
      <c r="E284" s="13"/>
      <c r="F284" s="13"/>
      <c r="G284" s="30"/>
      <c r="H284" s="14"/>
      <c r="I284" s="30"/>
      <c r="J284" s="32"/>
      <c r="K284" s="14"/>
      <c r="L284" s="33"/>
      <c r="M284" s="33"/>
      <c r="N284" s="35"/>
      <c r="O284" s="13"/>
      <c r="P284" s="14"/>
      <c r="Q284" s="13"/>
      <c r="R284" s="13"/>
    </row>
  </sheetData>
  <autoFilter ref="A1:S142" xr:uid="{00000000-0001-0000-0000-000000000000}"/>
  <mergeCells count="11">
    <mergeCell ref="N24:N25"/>
    <mergeCell ref="N63:N64"/>
    <mergeCell ref="N65:N66"/>
    <mergeCell ref="N67:N68"/>
    <mergeCell ref="N69:N70"/>
    <mergeCell ref="B2:B3"/>
    <mergeCell ref="N2:N6"/>
    <mergeCell ref="B4:B5"/>
    <mergeCell ref="N7:N10"/>
    <mergeCell ref="N11:N18"/>
    <mergeCell ref="N19:N23"/>
  </mergeCells>
  <printOptions horizontalCentered="1"/>
  <pageMargins left="0.45" right="0.2" top="0.75" bottom="0.75" header="0.3" footer="0.3"/>
  <pageSetup paperSize="4638" scale="59" orientation="landscape" r:id="rId1"/>
  <rowBreaks count="1" manualBreakCount="1">
    <brk id="23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84DC-9B84-4368-9A16-33A345D10270}">
  <sheetPr>
    <tabColor theme="5" tint="0.39997558519241921"/>
  </sheetPr>
  <dimension ref="A1:K158"/>
  <sheetViews>
    <sheetView zoomScale="115" zoomScaleNormal="115" zoomScaleSheetLayoutView="100" workbookViewId="0">
      <selection activeCell="C111" sqref="C111"/>
    </sheetView>
  </sheetViews>
  <sheetFormatPr defaultRowHeight="14.5" x14ac:dyDescent="0.35"/>
  <cols>
    <col min="1" max="1" width="6.81640625" customWidth="1"/>
    <col min="2" max="2" width="43.1796875" style="165" customWidth="1"/>
    <col min="3" max="3" width="42.1796875" customWidth="1"/>
    <col min="4" max="4" width="5.7265625" customWidth="1"/>
    <col min="5" max="5" width="17" customWidth="1"/>
    <col min="6" max="6" width="13.453125" customWidth="1"/>
    <col min="7" max="7" width="14.1796875" customWidth="1"/>
    <col min="8" max="8" width="22.7265625" customWidth="1"/>
  </cols>
  <sheetData>
    <row r="1" spans="1:10" ht="45" customHeight="1" x14ac:dyDescent="0.35">
      <c r="A1" s="120" t="s">
        <v>467</v>
      </c>
      <c r="B1" s="120"/>
      <c r="C1" s="120"/>
      <c r="D1" s="120"/>
      <c r="E1" s="120"/>
      <c r="F1" s="120"/>
      <c r="G1" s="120"/>
      <c r="H1" s="120"/>
    </row>
    <row r="2" spans="1:10" ht="46.5" x14ac:dyDescent="0.35">
      <c r="A2" s="121" t="s">
        <v>468</v>
      </c>
      <c r="B2" s="122" t="s">
        <v>1</v>
      </c>
      <c r="C2" s="122" t="s">
        <v>469</v>
      </c>
      <c r="D2" s="123" t="s">
        <v>3</v>
      </c>
      <c r="E2" s="122" t="s">
        <v>470</v>
      </c>
      <c r="F2" s="121" t="s">
        <v>471</v>
      </c>
      <c r="G2" s="121" t="s">
        <v>472</v>
      </c>
      <c r="H2" s="121" t="s">
        <v>473</v>
      </c>
    </row>
    <row r="3" spans="1:10" ht="15.5" x14ac:dyDescent="0.35">
      <c r="A3" s="124">
        <v>1</v>
      </c>
      <c r="B3" s="125" t="s">
        <v>474</v>
      </c>
      <c r="C3" s="125" t="s">
        <v>475</v>
      </c>
      <c r="D3" s="124" t="s">
        <v>476</v>
      </c>
      <c r="E3" s="126">
        <v>10334.75</v>
      </c>
      <c r="F3" s="126">
        <v>1860.25</v>
      </c>
      <c r="G3" s="127">
        <v>12195</v>
      </c>
      <c r="H3" s="128" t="s">
        <v>60</v>
      </c>
    </row>
    <row r="4" spans="1:10" ht="15.5" x14ac:dyDescent="0.35">
      <c r="A4" s="124"/>
      <c r="B4" s="125"/>
      <c r="C4" s="125" t="s">
        <v>477</v>
      </c>
      <c r="D4" s="124" t="s">
        <v>478</v>
      </c>
      <c r="E4" s="126"/>
      <c r="F4" s="126"/>
      <c r="G4" s="127"/>
      <c r="H4" s="128" t="s">
        <v>479</v>
      </c>
      <c r="J4" s="129"/>
    </row>
    <row r="5" spans="1:10" ht="15.5" x14ac:dyDescent="0.35">
      <c r="A5" s="124"/>
      <c r="B5" s="125"/>
      <c r="C5" s="125" t="s">
        <v>480</v>
      </c>
      <c r="D5" s="124" t="s">
        <v>481</v>
      </c>
      <c r="E5" s="126"/>
      <c r="F5" s="126"/>
      <c r="G5" s="127"/>
      <c r="H5" s="128" t="s">
        <v>479</v>
      </c>
    </row>
    <row r="6" spans="1:10" ht="15.5" x14ac:dyDescent="0.35">
      <c r="A6" s="124"/>
      <c r="B6" s="125"/>
      <c r="C6" s="125"/>
      <c r="D6" s="124"/>
      <c r="E6" s="130"/>
      <c r="F6" s="130"/>
      <c r="G6" s="131"/>
      <c r="H6" s="130"/>
    </row>
    <row r="7" spans="1:10" ht="15.5" x14ac:dyDescent="0.35">
      <c r="A7" s="124">
        <v>2</v>
      </c>
      <c r="B7" s="125" t="s">
        <v>482</v>
      </c>
      <c r="C7" s="125" t="s">
        <v>483</v>
      </c>
      <c r="D7" s="124" t="s">
        <v>476</v>
      </c>
      <c r="E7" s="126">
        <v>6435</v>
      </c>
      <c r="F7" s="126">
        <v>1158.3</v>
      </c>
      <c r="G7" s="127">
        <v>7593</v>
      </c>
      <c r="H7" s="128" t="s">
        <v>258</v>
      </c>
    </row>
    <row r="8" spans="1:10" ht="15.5" x14ac:dyDescent="0.35">
      <c r="A8" s="124"/>
      <c r="B8" s="125"/>
      <c r="C8" s="125" t="s">
        <v>484</v>
      </c>
      <c r="D8" s="124" t="s">
        <v>478</v>
      </c>
      <c r="E8" s="126"/>
      <c r="F8" s="126"/>
      <c r="G8" s="127"/>
      <c r="H8" s="128" t="s">
        <v>479</v>
      </c>
    </row>
    <row r="9" spans="1:10" ht="15.5" x14ac:dyDescent="0.35">
      <c r="A9" s="124"/>
      <c r="B9" s="125"/>
      <c r="C9" s="125"/>
      <c r="D9" s="124"/>
      <c r="E9" s="130"/>
      <c r="F9" s="130"/>
      <c r="G9" s="131"/>
      <c r="H9" s="130"/>
    </row>
    <row r="10" spans="1:10" ht="31" x14ac:dyDescent="0.35">
      <c r="A10" s="124">
        <v>3</v>
      </c>
      <c r="B10" s="125" t="s">
        <v>485</v>
      </c>
      <c r="C10" s="125" t="s">
        <v>483</v>
      </c>
      <c r="D10" s="124" t="s">
        <v>476</v>
      </c>
      <c r="E10" s="126">
        <v>24643.22</v>
      </c>
      <c r="F10" s="126">
        <v>4435.78</v>
      </c>
      <c r="G10" s="127">
        <v>29079</v>
      </c>
      <c r="H10" s="128" t="s">
        <v>60</v>
      </c>
    </row>
    <row r="11" spans="1:10" ht="15.5" x14ac:dyDescent="0.35">
      <c r="A11" s="124"/>
      <c r="B11" s="125"/>
      <c r="C11" s="125" t="s">
        <v>486</v>
      </c>
      <c r="D11" s="124" t="s">
        <v>478</v>
      </c>
      <c r="E11" s="126"/>
      <c r="F11" s="126"/>
      <c r="G11" s="127"/>
      <c r="H11" s="128" t="s">
        <v>479</v>
      </c>
    </row>
    <row r="12" spans="1:10" ht="15.5" x14ac:dyDescent="0.35">
      <c r="A12" s="124"/>
      <c r="B12" s="125"/>
      <c r="C12" s="125" t="s">
        <v>487</v>
      </c>
      <c r="D12" s="124" t="s">
        <v>481</v>
      </c>
      <c r="E12" s="126"/>
      <c r="F12" s="126"/>
      <c r="G12" s="127"/>
      <c r="H12" s="128" t="s">
        <v>479</v>
      </c>
    </row>
    <row r="13" spans="1:10" ht="15.5" x14ac:dyDescent="0.35">
      <c r="A13" s="124"/>
      <c r="B13" s="125"/>
      <c r="C13" s="125"/>
      <c r="D13" s="124"/>
      <c r="E13" s="130"/>
      <c r="F13" s="130"/>
      <c r="G13" s="131"/>
      <c r="H13" s="130"/>
    </row>
    <row r="14" spans="1:10" ht="15.5" x14ac:dyDescent="0.35">
      <c r="A14" s="124">
        <v>4</v>
      </c>
      <c r="B14" s="125" t="s">
        <v>488</v>
      </c>
      <c r="C14" s="125" t="s">
        <v>483</v>
      </c>
      <c r="D14" s="124" t="s">
        <v>476</v>
      </c>
      <c r="E14" s="126">
        <v>22016.95</v>
      </c>
      <c r="F14" s="126">
        <v>3963.05</v>
      </c>
      <c r="G14" s="127">
        <v>25980</v>
      </c>
      <c r="H14" s="128" t="s">
        <v>258</v>
      </c>
    </row>
    <row r="15" spans="1:10" ht="15.5" x14ac:dyDescent="0.35">
      <c r="A15" s="124"/>
      <c r="B15" s="125"/>
      <c r="C15" s="125" t="s">
        <v>489</v>
      </c>
      <c r="D15" s="124" t="s">
        <v>478</v>
      </c>
      <c r="E15" s="126"/>
      <c r="F15" s="126"/>
      <c r="G15" s="127"/>
      <c r="H15" s="128" t="s">
        <v>479</v>
      </c>
    </row>
    <row r="16" spans="1:10" ht="15.5" x14ac:dyDescent="0.35">
      <c r="A16" s="124"/>
      <c r="B16" s="125"/>
      <c r="C16" s="125" t="s">
        <v>487</v>
      </c>
      <c r="D16" s="124" t="s">
        <v>481</v>
      </c>
      <c r="E16" s="126"/>
      <c r="F16" s="126"/>
      <c r="G16" s="127"/>
      <c r="H16" s="128" t="s">
        <v>479</v>
      </c>
    </row>
    <row r="17" spans="1:8" ht="15.5" x14ac:dyDescent="0.35">
      <c r="A17" s="124"/>
      <c r="B17" s="125"/>
      <c r="C17" s="125"/>
      <c r="D17" s="124"/>
      <c r="E17" s="130"/>
      <c r="F17" s="130"/>
      <c r="G17" s="131"/>
      <c r="H17" s="130"/>
    </row>
    <row r="18" spans="1:8" ht="15.5" x14ac:dyDescent="0.35">
      <c r="A18" s="124">
        <v>5</v>
      </c>
      <c r="B18" s="125" t="s">
        <v>490</v>
      </c>
      <c r="C18" s="125" t="s">
        <v>491</v>
      </c>
      <c r="D18" s="124" t="s">
        <v>476</v>
      </c>
      <c r="E18" s="126">
        <v>10822.03</v>
      </c>
      <c r="F18" s="126">
        <v>1947.97</v>
      </c>
      <c r="G18" s="127">
        <v>12770</v>
      </c>
      <c r="H18" s="128" t="s">
        <v>258</v>
      </c>
    </row>
    <row r="19" spans="1:8" ht="15.5" x14ac:dyDescent="0.35">
      <c r="A19" s="124"/>
      <c r="B19" s="125"/>
      <c r="C19" s="125" t="s">
        <v>492</v>
      </c>
      <c r="D19" s="124" t="s">
        <v>478</v>
      </c>
      <c r="E19" s="126"/>
      <c r="F19" s="126"/>
      <c r="G19" s="127"/>
      <c r="H19" s="128" t="s">
        <v>479</v>
      </c>
    </row>
    <row r="20" spans="1:8" ht="15.5" x14ac:dyDescent="0.35">
      <c r="A20" s="124"/>
      <c r="B20" s="125"/>
      <c r="C20" s="125"/>
      <c r="D20" s="124"/>
      <c r="E20" s="130"/>
      <c r="F20" s="130"/>
      <c r="G20" s="131"/>
      <c r="H20" s="130"/>
    </row>
    <row r="21" spans="1:8" ht="15.5" x14ac:dyDescent="0.35">
      <c r="A21" s="124">
        <v>6</v>
      </c>
      <c r="B21" s="125" t="s">
        <v>493</v>
      </c>
      <c r="C21" s="125" t="s">
        <v>483</v>
      </c>
      <c r="D21" s="124" t="s">
        <v>476</v>
      </c>
      <c r="E21" s="126">
        <v>9856.7800000000007</v>
      </c>
      <c r="F21" s="126">
        <v>1774.22</v>
      </c>
      <c r="G21" s="127">
        <v>11631</v>
      </c>
      <c r="H21" s="128" t="s">
        <v>258</v>
      </c>
    </row>
    <row r="22" spans="1:8" ht="15.5" x14ac:dyDescent="0.35">
      <c r="A22" s="124"/>
      <c r="B22" s="125"/>
      <c r="C22" s="125" t="s">
        <v>491</v>
      </c>
      <c r="D22" s="124" t="s">
        <v>478</v>
      </c>
      <c r="E22" s="126"/>
      <c r="F22" s="126"/>
      <c r="G22" s="127"/>
      <c r="H22" s="128" t="s">
        <v>479</v>
      </c>
    </row>
    <row r="23" spans="1:8" ht="15.5" x14ac:dyDescent="0.35">
      <c r="A23" s="124"/>
      <c r="B23" s="125"/>
      <c r="C23" s="125"/>
      <c r="D23" s="124"/>
      <c r="E23" s="130"/>
      <c r="F23" s="130"/>
      <c r="G23" s="131"/>
      <c r="H23" s="130"/>
    </row>
    <row r="24" spans="1:8" ht="15.5" x14ac:dyDescent="0.35">
      <c r="A24" s="124">
        <v>7</v>
      </c>
      <c r="B24" s="125" t="s">
        <v>494</v>
      </c>
      <c r="C24" s="125" t="s">
        <v>486</v>
      </c>
      <c r="D24" s="124" t="s">
        <v>476</v>
      </c>
      <c r="E24" s="126">
        <v>9321.19</v>
      </c>
      <c r="F24" s="126">
        <v>1677.81</v>
      </c>
      <c r="G24" s="127">
        <v>10999</v>
      </c>
      <c r="H24" s="128" t="s">
        <v>258</v>
      </c>
    </row>
    <row r="25" spans="1:8" ht="15.5" x14ac:dyDescent="0.35">
      <c r="A25" s="124"/>
      <c r="B25" s="125"/>
      <c r="C25" s="125" t="s">
        <v>487</v>
      </c>
      <c r="D25" s="124" t="s">
        <v>478</v>
      </c>
      <c r="E25" s="126"/>
      <c r="F25" s="126"/>
      <c r="G25" s="127"/>
      <c r="H25" s="128" t="s">
        <v>479</v>
      </c>
    </row>
    <row r="26" spans="1:8" ht="15.5" x14ac:dyDescent="0.35">
      <c r="A26" s="124"/>
      <c r="B26" s="125"/>
      <c r="C26" s="125"/>
      <c r="D26" s="124"/>
      <c r="E26" s="130"/>
      <c r="F26" s="130"/>
      <c r="G26" s="131"/>
      <c r="H26" s="130"/>
    </row>
    <row r="27" spans="1:8" ht="15.5" x14ac:dyDescent="0.35">
      <c r="A27" s="124">
        <v>8</v>
      </c>
      <c r="B27" s="125" t="s">
        <v>495</v>
      </c>
      <c r="C27" s="125" t="s">
        <v>486</v>
      </c>
      <c r="D27" s="124" t="s">
        <v>476</v>
      </c>
      <c r="E27" s="126">
        <v>1524.58</v>
      </c>
      <c r="F27" s="130">
        <v>274.42</v>
      </c>
      <c r="G27" s="127">
        <v>1799</v>
      </c>
      <c r="H27" s="128" t="s">
        <v>60</v>
      </c>
    </row>
    <row r="28" spans="1:8" ht="15.5" x14ac:dyDescent="0.35">
      <c r="A28" s="124"/>
      <c r="B28" s="125"/>
      <c r="C28" s="125"/>
      <c r="D28" s="124"/>
      <c r="E28" s="130"/>
      <c r="F28" s="130"/>
      <c r="G28" s="127"/>
      <c r="H28" s="130"/>
    </row>
    <row r="29" spans="1:8" ht="15.5" x14ac:dyDescent="0.35">
      <c r="A29" s="124">
        <v>9</v>
      </c>
      <c r="B29" s="125" t="s">
        <v>496</v>
      </c>
      <c r="C29" s="125" t="s">
        <v>492</v>
      </c>
      <c r="D29" s="124" t="s">
        <v>476</v>
      </c>
      <c r="E29" s="126">
        <v>3957.63</v>
      </c>
      <c r="F29" s="130">
        <v>712.37</v>
      </c>
      <c r="G29" s="127">
        <v>4670</v>
      </c>
      <c r="H29" s="128" t="s">
        <v>258</v>
      </c>
    </row>
    <row r="30" spans="1:8" ht="15.5" x14ac:dyDescent="0.35">
      <c r="A30" s="124"/>
      <c r="B30" s="125"/>
      <c r="C30" s="125"/>
      <c r="D30" s="124"/>
      <c r="E30" s="130"/>
      <c r="F30" s="130"/>
      <c r="G30" s="127"/>
      <c r="H30" s="130"/>
    </row>
    <row r="31" spans="1:8" ht="15.5" x14ac:dyDescent="0.35">
      <c r="A31" s="124">
        <v>10</v>
      </c>
      <c r="B31" s="125" t="s">
        <v>497</v>
      </c>
      <c r="C31" s="125" t="s">
        <v>498</v>
      </c>
      <c r="D31" s="124" t="s">
        <v>476</v>
      </c>
      <c r="E31" s="126">
        <v>1863.56</v>
      </c>
      <c r="F31" s="130">
        <v>335.44</v>
      </c>
      <c r="G31" s="127">
        <v>2199</v>
      </c>
      <c r="H31" s="128" t="s">
        <v>258</v>
      </c>
    </row>
    <row r="32" spans="1:8" ht="15.5" x14ac:dyDescent="0.35">
      <c r="A32" s="124"/>
      <c r="B32" s="125"/>
      <c r="C32" s="125"/>
      <c r="D32" s="124"/>
      <c r="E32" s="130"/>
      <c r="F32" s="130"/>
      <c r="G32" s="127"/>
      <c r="H32" s="130"/>
    </row>
    <row r="33" spans="1:8" ht="15.5" x14ac:dyDescent="0.35">
      <c r="A33" s="124">
        <v>11</v>
      </c>
      <c r="B33" s="125" t="s">
        <v>499</v>
      </c>
      <c r="C33" s="125" t="s">
        <v>484</v>
      </c>
      <c r="D33" s="124" t="s">
        <v>476</v>
      </c>
      <c r="E33" s="126">
        <v>12180</v>
      </c>
      <c r="F33" s="126">
        <v>2192.4</v>
      </c>
      <c r="G33" s="127">
        <v>14372</v>
      </c>
      <c r="H33" s="128" t="s">
        <v>60</v>
      </c>
    </row>
    <row r="34" spans="1:8" ht="15.5" x14ac:dyDescent="0.35">
      <c r="A34" s="124"/>
      <c r="B34" s="125"/>
      <c r="C34" s="125"/>
      <c r="D34" s="124"/>
      <c r="E34" s="130"/>
      <c r="F34" s="130"/>
      <c r="G34" s="127"/>
      <c r="H34" s="130"/>
    </row>
    <row r="35" spans="1:8" ht="15.5" x14ac:dyDescent="0.35">
      <c r="A35" s="124">
        <v>12</v>
      </c>
      <c r="B35" s="125" t="s">
        <v>500</v>
      </c>
      <c r="C35" s="125" t="s">
        <v>486</v>
      </c>
      <c r="D35" s="124" t="s">
        <v>476</v>
      </c>
      <c r="E35" s="126">
        <v>3388.98</v>
      </c>
      <c r="F35" s="130">
        <v>610.02</v>
      </c>
      <c r="G35" s="127">
        <v>3999</v>
      </c>
      <c r="H35" s="128" t="s">
        <v>258</v>
      </c>
    </row>
    <row r="36" spans="1:8" ht="15.5" x14ac:dyDescent="0.35">
      <c r="A36" s="124"/>
      <c r="B36" s="125"/>
      <c r="C36" s="125"/>
      <c r="D36" s="124"/>
      <c r="E36" s="130"/>
      <c r="F36" s="130"/>
      <c r="G36" s="127"/>
      <c r="H36" s="130"/>
    </row>
    <row r="37" spans="1:8" ht="15.5" x14ac:dyDescent="0.35">
      <c r="A37" s="124">
        <v>13</v>
      </c>
      <c r="B37" s="125" t="s">
        <v>501</v>
      </c>
      <c r="C37" s="125" t="s">
        <v>484</v>
      </c>
      <c r="D37" s="124" t="s">
        <v>476</v>
      </c>
      <c r="E37" s="126">
        <v>3915</v>
      </c>
      <c r="F37" s="130">
        <v>704.7</v>
      </c>
      <c r="G37" s="127">
        <v>4620</v>
      </c>
      <c r="H37" s="128" t="s">
        <v>258</v>
      </c>
    </row>
    <row r="38" spans="1:8" ht="15.5" x14ac:dyDescent="0.35">
      <c r="A38" s="124"/>
      <c r="B38" s="125"/>
      <c r="C38" s="125"/>
      <c r="D38" s="124"/>
      <c r="E38" s="130"/>
      <c r="F38" s="130"/>
      <c r="G38" s="131"/>
      <c r="H38" s="130"/>
    </row>
    <row r="39" spans="1:8" ht="15.5" x14ac:dyDescent="0.35">
      <c r="A39" s="124">
        <v>14</v>
      </c>
      <c r="B39" s="125" t="s">
        <v>502</v>
      </c>
      <c r="C39" s="125" t="s">
        <v>489</v>
      </c>
      <c r="D39" s="124" t="s">
        <v>476</v>
      </c>
      <c r="E39" s="130">
        <v>507.63</v>
      </c>
      <c r="F39" s="130">
        <v>91.37</v>
      </c>
      <c r="G39" s="131">
        <f>SUBTOTAL(9,E39:F39)</f>
        <v>599</v>
      </c>
      <c r="H39" s="128" t="s">
        <v>258</v>
      </c>
    </row>
    <row r="40" spans="1:8" ht="15.5" x14ac:dyDescent="0.35">
      <c r="A40" s="124"/>
      <c r="B40" s="125"/>
      <c r="C40" s="125"/>
      <c r="D40" s="124"/>
      <c r="E40" s="130"/>
      <c r="F40" s="130"/>
      <c r="G40" s="131"/>
      <c r="H40" s="130"/>
    </row>
    <row r="41" spans="1:8" ht="15.5" x14ac:dyDescent="0.35">
      <c r="A41" s="124">
        <v>15</v>
      </c>
      <c r="B41" s="125" t="s">
        <v>503</v>
      </c>
      <c r="C41" s="125" t="s">
        <v>489</v>
      </c>
      <c r="D41" s="124" t="s">
        <v>476</v>
      </c>
      <c r="E41" s="126">
        <v>6778.81</v>
      </c>
      <c r="F41" s="126">
        <v>1220.19</v>
      </c>
      <c r="G41" s="127">
        <v>7999</v>
      </c>
      <c r="H41" s="128" t="s">
        <v>60</v>
      </c>
    </row>
    <row r="42" spans="1:8" ht="15.5" x14ac:dyDescent="0.35">
      <c r="A42" s="124"/>
      <c r="B42" s="125"/>
      <c r="C42" s="125" t="s">
        <v>484</v>
      </c>
      <c r="D42" s="124" t="s">
        <v>478</v>
      </c>
      <c r="E42" s="126"/>
      <c r="F42" s="126"/>
      <c r="G42" s="132"/>
      <c r="H42" s="128" t="s">
        <v>479</v>
      </c>
    </row>
    <row r="43" spans="1:8" ht="15.5" x14ac:dyDescent="0.35">
      <c r="A43" s="124"/>
      <c r="B43" s="125"/>
      <c r="C43" s="125"/>
      <c r="D43" s="124"/>
      <c r="E43" s="130"/>
      <c r="F43" s="130"/>
      <c r="G43" s="131"/>
      <c r="H43" s="130"/>
    </row>
    <row r="44" spans="1:8" s="139" customFormat="1" ht="15.5" x14ac:dyDescent="0.35">
      <c r="A44" s="133">
        <v>16</v>
      </c>
      <c r="B44" s="134" t="s">
        <v>504</v>
      </c>
      <c r="C44" s="134" t="s">
        <v>489</v>
      </c>
      <c r="D44" s="133" t="s">
        <v>476</v>
      </c>
      <c r="E44" s="135">
        <v>5083.8999999999996</v>
      </c>
      <c r="F44" s="136">
        <v>915.1</v>
      </c>
      <c r="G44" s="137">
        <v>5999</v>
      </c>
      <c r="H44" s="138" t="s">
        <v>258</v>
      </c>
    </row>
    <row r="45" spans="1:8" ht="15.5" x14ac:dyDescent="0.35">
      <c r="A45" s="124"/>
      <c r="B45" s="125"/>
      <c r="C45" s="125"/>
      <c r="D45" s="124"/>
      <c r="E45" s="130"/>
      <c r="F45" s="130"/>
      <c r="G45" s="127"/>
      <c r="H45" s="130"/>
    </row>
    <row r="46" spans="1:8" ht="15.5" x14ac:dyDescent="0.35">
      <c r="A46" s="124">
        <v>17</v>
      </c>
      <c r="B46" s="125" t="s">
        <v>505</v>
      </c>
      <c r="C46" s="125" t="s">
        <v>506</v>
      </c>
      <c r="D46" s="124" t="s">
        <v>476</v>
      </c>
      <c r="E46" s="126">
        <v>9034.75</v>
      </c>
      <c r="F46" s="130">
        <v>451.74</v>
      </c>
      <c r="G46" s="127">
        <v>9486</v>
      </c>
      <c r="H46" s="128" t="s">
        <v>60</v>
      </c>
    </row>
    <row r="47" spans="1:8" ht="15.5" x14ac:dyDescent="0.35">
      <c r="A47" s="124"/>
      <c r="B47" s="125"/>
      <c r="C47" s="125"/>
      <c r="D47" s="124"/>
      <c r="E47" s="130"/>
      <c r="F47" s="130"/>
      <c r="G47" s="127"/>
      <c r="H47" s="130"/>
    </row>
    <row r="48" spans="1:8" ht="15.5" x14ac:dyDescent="0.35">
      <c r="A48" s="124">
        <v>18</v>
      </c>
      <c r="B48" s="125" t="s">
        <v>507</v>
      </c>
      <c r="C48" s="125" t="s">
        <v>487</v>
      </c>
      <c r="D48" s="124" t="s">
        <v>476</v>
      </c>
      <c r="E48" s="126">
        <v>7644</v>
      </c>
      <c r="F48" s="130">
        <v>382.2</v>
      </c>
      <c r="G48" s="127">
        <v>8026</v>
      </c>
      <c r="H48" s="128" t="s">
        <v>258</v>
      </c>
    </row>
    <row r="49" spans="1:11" ht="15.5" x14ac:dyDescent="0.35">
      <c r="A49" s="124"/>
      <c r="B49" s="125"/>
      <c r="C49" s="125"/>
      <c r="D49" s="124"/>
      <c r="E49" s="130"/>
      <c r="F49" s="130"/>
      <c r="G49" s="127"/>
      <c r="H49" s="130"/>
    </row>
    <row r="50" spans="1:11" ht="15.5" x14ac:dyDescent="0.35">
      <c r="A50" s="124">
        <v>19</v>
      </c>
      <c r="B50" s="125" t="s">
        <v>508</v>
      </c>
      <c r="C50" s="125" t="s">
        <v>484</v>
      </c>
      <c r="D50" s="124" t="s">
        <v>476</v>
      </c>
      <c r="E50" s="126">
        <v>14355</v>
      </c>
      <c r="F50" s="126">
        <v>2583.9</v>
      </c>
      <c r="G50" s="127">
        <v>16939</v>
      </c>
      <c r="H50" s="128" t="s">
        <v>258</v>
      </c>
    </row>
    <row r="51" spans="1:11" ht="31" x14ac:dyDescent="0.35">
      <c r="A51" s="124"/>
      <c r="B51" s="125"/>
      <c r="C51" s="125" t="s">
        <v>509</v>
      </c>
      <c r="D51" s="124" t="s">
        <v>478</v>
      </c>
      <c r="E51" s="126"/>
      <c r="F51" s="126"/>
      <c r="G51" s="127"/>
      <c r="H51" s="128" t="s">
        <v>479</v>
      </c>
    </row>
    <row r="52" spans="1:11" ht="15.5" x14ac:dyDescent="0.35">
      <c r="A52" s="124"/>
      <c r="B52" s="125"/>
      <c r="C52" s="125"/>
      <c r="D52" s="124"/>
      <c r="E52" s="130"/>
      <c r="F52" s="130"/>
      <c r="G52" s="131"/>
      <c r="H52" s="130"/>
    </row>
    <row r="53" spans="1:11" ht="31" x14ac:dyDescent="0.35">
      <c r="A53" s="124">
        <v>20</v>
      </c>
      <c r="B53" s="125" t="s">
        <v>510</v>
      </c>
      <c r="C53" s="125" t="s">
        <v>509</v>
      </c>
      <c r="D53" s="124" t="s">
        <v>476</v>
      </c>
      <c r="E53" s="126">
        <v>16154.24</v>
      </c>
      <c r="F53" s="126">
        <v>2907.76</v>
      </c>
      <c r="G53" s="127">
        <v>19062</v>
      </c>
      <c r="H53" s="128" t="s">
        <v>258</v>
      </c>
    </row>
    <row r="54" spans="1:11" ht="15.5" x14ac:dyDescent="0.35">
      <c r="A54" s="124"/>
      <c r="B54" s="125"/>
      <c r="C54" s="125" t="s">
        <v>484</v>
      </c>
      <c r="D54" s="124" t="s">
        <v>478</v>
      </c>
      <c r="E54" s="126"/>
      <c r="F54" s="126"/>
      <c r="G54" s="127"/>
      <c r="H54" s="128" t="s">
        <v>479</v>
      </c>
    </row>
    <row r="55" spans="1:11" ht="15.5" x14ac:dyDescent="0.35">
      <c r="A55" s="124"/>
      <c r="B55" s="125"/>
      <c r="C55" s="125"/>
      <c r="D55" s="124"/>
      <c r="E55" s="130"/>
      <c r="F55" s="130"/>
      <c r="G55" s="127"/>
      <c r="H55" s="130"/>
    </row>
    <row r="56" spans="1:11" ht="15.5" x14ac:dyDescent="0.35">
      <c r="A56" s="124">
        <v>21</v>
      </c>
      <c r="B56" s="125" t="s">
        <v>511</v>
      </c>
      <c r="C56" s="125" t="s">
        <v>484</v>
      </c>
      <c r="D56" s="124" t="s">
        <v>476</v>
      </c>
      <c r="E56" s="126">
        <v>15225</v>
      </c>
      <c r="F56" s="126">
        <v>2740.5</v>
      </c>
      <c r="G56" s="127">
        <v>17966</v>
      </c>
      <c r="H56" s="128" t="s">
        <v>258</v>
      </c>
      <c r="I56" s="129"/>
      <c r="J56" s="140"/>
    </row>
    <row r="57" spans="1:11" ht="31" x14ac:dyDescent="0.35">
      <c r="A57" s="124"/>
      <c r="B57" s="125"/>
      <c r="C57" s="125" t="s">
        <v>509</v>
      </c>
      <c r="D57" s="124" t="s">
        <v>478</v>
      </c>
      <c r="E57" s="126"/>
      <c r="F57" s="126"/>
      <c r="G57" s="127"/>
      <c r="H57" s="128" t="s">
        <v>479</v>
      </c>
      <c r="K57" s="129"/>
    </row>
    <row r="58" spans="1:11" ht="12.75" customHeight="1" x14ac:dyDescent="0.35">
      <c r="A58" s="124"/>
      <c r="B58" s="125"/>
      <c r="C58" s="125"/>
      <c r="D58" s="124"/>
      <c r="E58" s="126"/>
      <c r="F58" s="126"/>
      <c r="G58" s="127"/>
      <c r="H58" s="128"/>
    </row>
    <row r="59" spans="1:11" ht="15.5" x14ac:dyDescent="0.35">
      <c r="A59" s="124">
        <v>22</v>
      </c>
      <c r="B59" s="125" t="s">
        <v>512</v>
      </c>
      <c r="C59" s="125" t="s">
        <v>492</v>
      </c>
      <c r="D59" s="124" t="s">
        <v>476</v>
      </c>
      <c r="E59" s="126">
        <v>27157.63</v>
      </c>
      <c r="F59" s="126">
        <v>4888.37</v>
      </c>
      <c r="G59" s="127">
        <v>32046</v>
      </c>
      <c r="H59" s="128" t="s">
        <v>258</v>
      </c>
    </row>
    <row r="60" spans="1:11" ht="15.5" x14ac:dyDescent="0.35">
      <c r="A60" s="124"/>
      <c r="B60" s="125"/>
      <c r="C60" s="125"/>
      <c r="D60" s="124"/>
      <c r="E60" s="130"/>
      <c r="F60" s="130"/>
      <c r="G60" s="127"/>
      <c r="H60" s="130"/>
    </row>
    <row r="61" spans="1:11" ht="31" x14ac:dyDescent="0.35">
      <c r="A61" s="124">
        <v>23</v>
      </c>
      <c r="B61" s="125" t="s">
        <v>513</v>
      </c>
      <c r="C61" s="125" t="s">
        <v>509</v>
      </c>
      <c r="D61" s="124" t="s">
        <v>476</v>
      </c>
      <c r="E61" s="126">
        <v>9845.76</v>
      </c>
      <c r="F61" s="126">
        <v>1772.24</v>
      </c>
      <c r="G61" s="127">
        <v>11618</v>
      </c>
      <c r="H61" s="128" t="s">
        <v>258</v>
      </c>
    </row>
    <row r="62" spans="1:11" ht="15.5" x14ac:dyDescent="0.35">
      <c r="A62" s="124"/>
      <c r="B62" s="125"/>
      <c r="C62" s="125" t="s">
        <v>492</v>
      </c>
      <c r="D62" s="124" t="s">
        <v>478</v>
      </c>
      <c r="E62" s="126"/>
      <c r="F62" s="126"/>
      <c r="G62" s="127"/>
      <c r="H62" s="128" t="s">
        <v>514</v>
      </c>
    </row>
    <row r="63" spans="1:11" ht="15.5" x14ac:dyDescent="0.35">
      <c r="A63" s="124"/>
      <c r="B63" s="125"/>
      <c r="C63" s="125"/>
      <c r="D63" s="124"/>
      <c r="E63" s="130"/>
      <c r="F63" s="130"/>
      <c r="G63" s="127"/>
      <c r="H63" s="130"/>
    </row>
    <row r="64" spans="1:11" ht="15.5" x14ac:dyDescent="0.35">
      <c r="A64" s="124">
        <v>24</v>
      </c>
      <c r="B64" s="125" t="s">
        <v>515</v>
      </c>
      <c r="C64" s="125" t="s">
        <v>489</v>
      </c>
      <c r="D64" s="124" t="s">
        <v>476</v>
      </c>
      <c r="E64" s="126">
        <v>7626.27</v>
      </c>
      <c r="F64" s="126">
        <v>1372.73</v>
      </c>
      <c r="G64" s="127">
        <v>8999</v>
      </c>
      <c r="H64" s="128" t="s">
        <v>258</v>
      </c>
    </row>
    <row r="65" spans="1:8" ht="15.5" x14ac:dyDescent="0.35">
      <c r="A65" s="124"/>
      <c r="B65" s="125"/>
      <c r="C65" s="125" t="s">
        <v>516</v>
      </c>
      <c r="D65" s="124" t="s">
        <v>478</v>
      </c>
      <c r="E65" s="126"/>
      <c r="F65" s="126"/>
      <c r="G65" s="127"/>
      <c r="H65" s="128" t="s">
        <v>479</v>
      </c>
    </row>
    <row r="66" spans="1:8" ht="15.5" x14ac:dyDescent="0.35">
      <c r="A66" s="124"/>
      <c r="B66" s="125"/>
      <c r="C66" s="125"/>
      <c r="D66" s="124"/>
      <c r="E66" s="130"/>
      <c r="F66" s="130"/>
      <c r="G66" s="127"/>
      <c r="H66" s="130"/>
    </row>
    <row r="67" spans="1:8" ht="15.5" x14ac:dyDescent="0.35">
      <c r="A67" s="124">
        <v>25</v>
      </c>
      <c r="B67" s="125" t="s">
        <v>517</v>
      </c>
      <c r="C67" s="125" t="s">
        <v>492</v>
      </c>
      <c r="D67" s="124" t="s">
        <v>476</v>
      </c>
      <c r="E67" s="126">
        <v>10710.17</v>
      </c>
      <c r="F67" s="126">
        <v>1927.83</v>
      </c>
      <c r="G67" s="127">
        <v>12638</v>
      </c>
      <c r="H67" s="128" t="s">
        <v>258</v>
      </c>
    </row>
    <row r="68" spans="1:8" ht="15.5" x14ac:dyDescent="0.35">
      <c r="A68" s="124"/>
      <c r="B68" s="125"/>
      <c r="C68" s="125" t="s">
        <v>489</v>
      </c>
      <c r="D68" s="124" t="s">
        <v>478</v>
      </c>
      <c r="E68" s="126"/>
      <c r="F68" s="126"/>
      <c r="G68" s="127"/>
      <c r="H68" s="128" t="s">
        <v>479</v>
      </c>
    </row>
    <row r="69" spans="1:8" ht="15.5" x14ac:dyDescent="0.35">
      <c r="A69" s="124"/>
      <c r="B69" s="125"/>
      <c r="C69" s="125"/>
      <c r="D69" s="124"/>
      <c r="E69" s="130"/>
      <c r="F69" s="130"/>
      <c r="G69" s="127"/>
      <c r="H69" s="130"/>
    </row>
    <row r="70" spans="1:8" ht="15.5" x14ac:dyDescent="0.35">
      <c r="A70" s="124">
        <v>26</v>
      </c>
      <c r="B70" s="125" t="s">
        <v>518</v>
      </c>
      <c r="C70" s="125" t="s">
        <v>489</v>
      </c>
      <c r="D70" s="124" t="s">
        <v>476</v>
      </c>
      <c r="E70" s="126">
        <v>3388.98</v>
      </c>
      <c r="F70" s="130">
        <v>610.02</v>
      </c>
      <c r="G70" s="127">
        <v>3999</v>
      </c>
      <c r="H70" s="128" t="s">
        <v>258</v>
      </c>
    </row>
    <row r="71" spans="1:8" ht="15.5" x14ac:dyDescent="0.35">
      <c r="A71" s="124"/>
      <c r="B71" s="125"/>
      <c r="C71" s="125"/>
      <c r="D71" s="124"/>
      <c r="E71" s="130"/>
      <c r="F71" s="130"/>
      <c r="G71" s="127"/>
      <c r="H71" s="130"/>
    </row>
    <row r="72" spans="1:8" ht="15.5" x14ac:dyDescent="0.35">
      <c r="A72" s="124">
        <v>27</v>
      </c>
      <c r="B72" s="125" t="s">
        <v>519</v>
      </c>
      <c r="C72" s="125" t="s">
        <v>489</v>
      </c>
      <c r="D72" s="124" t="s">
        <v>476</v>
      </c>
      <c r="E72" s="126">
        <v>4829.66</v>
      </c>
      <c r="F72" s="130">
        <v>869.34</v>
      </c>
      <c r="G72" s="127" t="s">
        <v>520</v>
      </c>
      <c r="H72" s="128" t="s">
        <v>258</v>
      </c>
    </row>
    <row r="73" spans="1:8" ht="15.5" x14ac:dyDescent="0.35">
      <c r="A73" s="124"/>
      <c r="B73" s="125"/>
      <c r="C73" s="125"/>
      <c r="D73" s="124"/>
      <c r="E73" s="130"/>
      <c r="F73" s="130"/>
      <c r="G73" s="127"/>
      <c r="H73" s="130"/>
    </row>
    <row r="74" spans="1:8" ht="15.5" x14ac:dyDescent="0.35">
      <c r="A74" s="124">
        <v>28</v>
      </c>
      <c r="B74" s="125" t="s">
        <v>521</v>
      </c>
      <c r="C74" s="125" t="s">
        <v>489</v>
      </c>
      <c r="D74" s="124" t="s">
        <v>476</v>
      </c>
      <c r="E74" s="126">
        <v>5931.36</v>
      </c>
      <c r="F74" s="126">
        <v>1067.6400000000001</v>
      </c>
      <c r="G74" s="127">
        <v>6999</v>
      </c>
      <c r="H74" s="128" t="s">
        <v>258</v>
      </c>
    </row>
    <row r="75" spans="1:8" ht="15.5" x14ac:dyDescent="0.35">
      <c r="A75" s="124"/>
      <c r="B75" s="125"/>
      <c r="C75" s="125"/>
      <c r="D75" s="124"/>
      <c r="E75" s="130"/>
      <c r="F75" s="130"/>
      <c r="G75" s="127"/>
      <c r="H75" s="130"/>
    </row>
    <row r="76" spans="1:8" ht="15.5" x14ac:dyDescent="0.35">
      <c r="A76" s="124">
        <v>29</v>
      </c>
      <c r="B76" s="125" t="s">
        <v>522</v>
      </c>
      <c r="C76" s="125" t="s">
        <v>484</v>
      </c>
      <c r="D76" s="124" t="s">
        <v>476</v>
      </c>
      <c r="E76" s="126">
        <v>6815</v>
      </c>
      <c r="F76" s="126">
        <v>1226.7</v>
      </c>
      <c r="G76" s="127">
        <v>8042</v>
      </c>
      <c r="H76" s="128" t="s">
        <v>258</v>
      </c>
    </row>
    <row r="77" spans="1:8" ht="15.5" x14ac:dyDescent="0.35">
      <c r="A77" s="124"/>
      <c r="B77" s="125" t="s">
        <v>522</v>
      </c>
      <c r="C77" s="125" t="s">
        <v>492</v>
      </c>
      <c r="D77" s="124" t="s">
        <v>478</v>
      </c>
      <c r="E77" s="126"/>
      <c r="F77" s="126"/>
      <c r="G77" s="127"/>
      <c r="H77" s="128" t="s">
        <v>479</v>
      </c>
    </row>
    <row r="78" spans="1:8" ht="15.5" x14ac:dyDescent="0.35">
      <c r="A78" s="124"/>
      <c r="B78" s="125"/>
      <c r="C78" s="125"/>
      <c r="D78" s="124"/>
      <c r="E78" s="130"/>
      <c r="F78" s="130"/>
      <c r="G78" s="127"/>
      <c r="H78" s="130"/>
    </row>
    <row r="79" spans="1:8" ht="15.5" x14ac:dyDescent="0.35">
      <c r="A79" s="124">
        <v>30</v>
      </c>
      <c r="B79" s="125" t="s">
        <v>523</v>
      </c>
      <c r="C79" s="125" t="s">
        <v>484</v>
      </c>
      <c r="D79" s="124" t="s">
        <v>476</v>
      </c>
      <c r="E79" s="126">
        <v>17400</v>
      </c>
      <c r="F79" s="126">
        <v>3132</v>
      </c>
      <c r="G79" s="127">
        <v>20532</v>
      </c>
      <c r="H79" s="128" t="s">
        <v>258</v>
      </c>
    </row>
    <row r="80" spans="1:8" ht="15.5" x14ac:dyDescent="0.35">
      <c r="A80" s="124"/>
      <c r="B80" s="125"/>
      <c r="C80" s="125"/>
      <c r="D80" s="124"/>
      <c r="E80" s="130"/>
      <c r="F80" s="130"/>
      <c r="G80" s="127"/>
      <c r="H80" s="130"/>
    </row>
    <row r="81" spans="1:8" ht="15.5" x14ac:dyDescent="0.35">
      <c r="A81" s="124">
        <v>31</v>
      </c>
      <c r="B81" s="125" t="s">
        <v>524</v>
      </c>
      <c r="C81" s="125" t="s">
        <v>491</v>
      </c>
      <c r="D81" s="124" t="s">
        <v>476</v>
      </c>
      <c r="E81" s="126">
        <v>8305.08</v>
      </c>
      <c r="F81" s="126">
        <v>1494.92</v>
      </c>
      <c r="G81" s="127">
        <v>9800</v>
      </c>
      <c r="H81" s="128" t="s">
        <v>258</v>
      </c>
    </row>
    <row r="82" spans="1:8" ht="15.5" x14ac:dyDescent="0.35">
      <c r="A82" s="124"/>
      <c r="B82" s="125"/>
      <c r="C82" s="125" t="s">
        <v>492</v>
      </c>
      <c r="D82" s="124" t="s">
        <v>478</v>
      </c>
      <c r="E82" s="126"/>
      <c r="F82" s="126"/>
      <c r="G82" s="127"/>
      <c r="H82" s="128" t="s">
        <v>514</v>
      </c>
    </row>
    <row r="83" spans="1:8" ht="15.5" x14ac:dyDescent="0.35">
      <c r="A83" s="124"/>
      <c r="B83" s="125"/>
      <c r="C83" s="125"/>
      <c r="D83" s="124"/>
      <c r="E83" s="130"/>
      <c r="F83" s="130"/>
      <c r="G83" s="127"/>
      <c r="H83" s="130"/>
    </row>
    <row r="84" spans="1:8" ht="15.5" x14ac:dyDescent="0.35">
      <c r="A84" s="124">
        <v>32</v>
      </c>
      <c r="B84" s="125" t="s">
        <v>525</v>
      </c>
      <c r="C84" s="125" t="s">
        <v>492</v>
      </c>
      <c r="D84" s="124" t="s">
        <v>476</v>
      </c>
      <c r="E84" s="126">
        <v>22994.92</v>
      </c>
      <c r="F84" s="126">
        <v>4139.08</v>
      </c>
      <c r="G84" s="127">
        <v>27134</v>
      </c>
      <c r="H84" s="128" t="s">
        <v>258</v>
      </c>
    </row>
    <row r="85" spans="1:8" ht="15.5" x14ac:dyDescent="0.35">
      <c r="A85" s="124"/>
      <c r="B85" s="125"/>
      <c r="C85" s="125" t="s">
        <v>487</v>
      </c>
      <c r="D85" s="124" t="s">
        <v>478</v>
      </c>
      <c r="E85" s="126"/>
      <c r="F85" s="126"/>
      <c r="G85" s="127"/>
      <c r="H85" s="128" t="s">
        <v>479</v>
      </c>
    </row>
    <row r="86" spans="1:8" ht="15.5" x14ac:dyDescent="0.35">
      <c r="A86" s="124"/>
      <c r="B86" s="125"/>
      <c r="C86" s="125"/>
      <c r="D86" s="124"/>
      <c r="E86" s="130"/>
      <c r="F86" s="130"/>
      <c r="G86" s="127"/>
      <c r="H86" s="130"/>
    </row>
    <row r="87" spans="1:8" ht="15.5" x14ac:dyDescent="0.35">
      <c r="A87" s="124">
        <v>33</v>
      </c>
      <c r="B87" s="125" t="s">
        <v>526</v>
      </c>
      <c r="C87" s="125" t="s">
        <v>487</v>
      </c>
      <c r="D87" s="124" t="s">
        <v>476</v>
      </c>
      <c r="E87" s="126">
        <v>5189</v>
      </c>
      <c r="F87" s="130">
        <v>934.02</v>
      </c>
      <c r="G87" s="127">
        <v>6123</v>
      </c>
      <c r="H87" s="128" t="s">
        <v>258</v>
      </c>
    </row>
    <row r="88" spans="1:8" ht="15.5" x14ac:dyDescent="0.35">
      <c r="A88" s="124"/>
      <c r="B88" s="125"/>
      <c r="C88" s="125" t="s">
        <v>492</v>
      </c>
      <c r="D88" s="124" t="s">
        <v>478</v>
      </c>
      <c r="E88" s="126"/>
      <c r="F88" s="126"/>
      <c r="G88" s="127"/>
      <c r="H88" s="128" t="s">
        <v>479</v>
      </c>
    </row>
    <row r="89" spans="1:8" ht="15.5" x14ac:dyDescent="0.35">
      <c r="A89" s="124"/>
      <c r="B89" s="125"/>
      <c r="C89" s="125"/>
      <c r="D89" s="124"/>
      <c r="E89" s="130"/>
      <c r="F89" s="130"/>
      <c r="G89" s="127"/>
      <c r="H89" s="130"/>
    </row>
    <row r="90" spans="1:8" ht="15.5" x14ac:dyDescent="0.35">
      <c r="A90" s="124">
        <v>34</v>
      </c>
      <c r="B90" s="125" t="s">
        <v>527</v>
      </c>
      <c r="C90" s="125" t="s">
        <v>528</v>
      </c>
      <c r="D90" s="124" t="s">
        <v>476</v>
      </c>
      <c r="E90" s="126">
        <v>3643.22</v>
      </c>
      <c r="F90" s="130">
        <v>655.78</v>
      </c>
      <c r="G90" s="127">
        <v>4299</v>
      </c>
      <c r="H90" s="128" t="s">
        <v>258</v>
      </c>
    </row>
    <row r="91" spans="1:8" ht="31" x14ac:dyDescent="0.35">
      <c r="A91" s="124"/>
      <c r="B91" s="125"/>
      <c r="C91" s="125" t="s">
        <v>529</v>
      </c>
      <c r="D91" s="124" t="s">
        <v>478</v>
      </c>
      <c r="E91" s="126"/>
      <c r="F91" s="130"/>
      <c r="G91" s="127"/>
      <c r="H91" s="128" t="s">
        <v>479</v>
      </c>
    </row>
    <row r="92" spans="1:8" ht="15.5" x14ac:dyDescent="0.35">
      <c r="A92" s="124"/>
      <c r="B92" s="125"/>
      <c r="C92" s="125"/>
      <c r="D92" s="124"/>
      <c r="E92" s="130"/>
      <c r="F92" s="130"/>
      <c r="G92" s="127"/>
      <c r="H92" s="130"/>
    </row>
    <row r="93" spans="1:8" ht="15.5" x14ac:dyDescent="0.35">
      <c r="A93" s="124">
        <v>35</v>
      </c>
      <c r="B93" s="125" t="s">
        <v>530</v>
      </c>
      <c r="C93" s="125" t="s">
        <v>484</v>
      </c>
      <c r="D93" s="124" t="s">
        <v>476</v>
      </c>
      <c r="E93" s="126">
        <v>2393</v>
      </c>
      <c r="F93" s="130">
        <v>430.74</v>
      </c>
      <c r="G93" s="127">
        <v>2824</v>
      </c>
      <c r="H93" s="128" t="s">
        <v>258</v>
      </c>
    </row>
    <row r="94" spans="1:8" ht="15.5" x14ac:dyDescent="0.35">
      <c r="A94" s="124"/>
      <c r="B94" s="125"/>
      <c r="C94" s="125" t="s">
        <v>531</v>
      </c>
      <c r="D94" s="124" t="s">
        <v>478</v>
      </c>
      <c r="E94" s="126"/>
      <c r="F94" s="130"/>
      <c r="G94" s="127"/>
      <c r="H94" s="128" t="s">
        <v>479</v>
      </c>
    </row>
    <row r="95" spans="1:8" ht="15.5" x14ac:dyDescent="0.35">
      <c r="A95" s="124"/>
      <c r="B95" s="125"/>
      <c r="C95" s="125" t="s">
        <v>487</v>
      </c>
      <c r="D95" s="124" t="s">
        <v>481</v>
      </c>
      <c r="E95" s="126"/>
      <c r="F95" s="130"/>
      <c r="G95" s="127"/>
      <c r="H95" s="128" t="s">
        <v>479</v>
      </c>
    </row>
    <row r="96" spans="1:8" ht="15.5" x14ac:dyDescent="0.35">
      <c r="A96" s="124"/>
      <c r="B96" s="125"/>
      <c r="C96" s="125"/>
      <c r="D96" s="124"/>
      <c r="E96" s="130"/>
      <c r="F96" s="130"/>
      <c r="G96" s="127"/>
      <c r="H96" s="130"/>
    </row>
    <row r="97" spans="1:8" ht="15.5" x14ac:dyDescent="0.35">
      <c r="A97" s="124">
        <v>36</v>
      </c>
      <c r="B97" s="125" t="s">
        <v>532</v>
      </c>
      <c r="C97" s="125" t="s">
        <v>533</v>
      </c>
      <c r="D97" s="124" t="s">
        <v>476</v>
      </c>
      <c r="E97" s="126">
        <v>7202.54</v>
      </c>
      <c r="F97" s="126">
        <v>1296.46</v>
      </c>
      <c r="G97" s="127">
        <v>8499</v>
      </c>
      <c r="H97" s="128" t="s">
        <v>258</v>
      </c>
    </row>
    <row r="98" spans="1:8" ht="31" x14ac:dyDescent="0.35">
      <c r="A98" s="124"/>
      <c r="B98" s="125"/>
      <c r="C98" s="125" t="s">
        <v>509</v>
      </c>
      <c r="D98" s="124" t="s">
        <v>478</v>
      </c>
      <c r="E98" s="126"/>
      <c r="F98" s="126"/>
      <c r="G98" s="127"/>
      <c r="H98" s="128" t="s">
        <v>479</v>
      </c>
    </row>
    <row r="99" spans="1:8" ht="15.5" x14ac:dyDescent="0.35">
      <c r="A99" s="124"/>
      <c r="B99" s="125"/>
      <c r="C99" s="125" t="s">
        <v>492</v>
      </c>
      <c r="D99" s="124" t="s">
        <v>481</v>
      </c>
      <c r="E99" s="126"/>
      <c r="F99" s="126"/>
      <c r="G99" s="127"/>
      <c r="H99" s="128" t="s">
        <v>514</v>
      </c>
    </row>
    <row r="100" spans="1:8" ht="15.5" x14ac:dyDescent="0.35">
      <c r="A100" s="124"/>
      <c r="B100" s="125"/>
      <c r="C100" s="125"/>
      <c r="D100" s="124"/>
      <c r="E100" s="130"/>
      <c r="F100" s="130"/>
      <c r="G100" s="127"/>
      <c r="H100" s="130"/>
    </row>
    <row r="101" spans="1:8" ht="15.5" x14ac:dyDescent="0.35">
      <c r="A101" s="124">
        <v>37</v>
      </c>
      <c r="B101" s="125" t="s">
        <v>534</v>
      </c>
      <c r="C101" s="125" t="s">
        <v>531</v>
      </c>
      <c r="D101" s="124" t="s">
        <v>476</v>
      </c>
      <c r="E101" s="126">
        <v>3304.24</v>
      </c>
      <c r="F101" s="130">
        <v>594.76</v>
      </c>
      <c r="G101" s="127">
        <v>3899</v>
      </c>
      <c r="H101" s="128" t="s">
        <v>60</v>
      </c>
    </row>
    <row r="102" spans="1:8" ht="15.5" x14ac:dyDescent="0.35">
      <c r="A102" s="124"/>
      <c r="B102" s="125"/>
      <c r="C102" s="125" t="s">
        <v>489</v>
      </c>
      <c r="D102" s="124" t="s">
        <v>478</v>
      </c>
      <c r="E102" s="126"/>
      <c r="F102" s="130"/>
      <c r="G102" s="127"/>
      <c r="H102" s="128" t="s">
        <v>479</v>
      </c>
    </row>
    <row r="103" spans="1:8" ht="15.5" x14ac:dyDescent="0.35">
      <c r="A103" s="124"/>
      <c r="B103" s="125"/>
      <c r="C103" s="125" t="s">
        <v>487</v>
      </c>
      <c r="D103" s="124" t="s">
        <v>481</v>
      </c>
      <c r="E103" s="126"/>
      <c r="F103" s="130"/>
      <c r="G103" s="127"/>
      <c r="H103" s="128" t="s">
        <v>479</v>
      </c>
    </row>
    <row r="104" spans="1:8" ht="15.5" x14ac:dyDescent="0.35">
      <c r="A104" s="124"/>
      <c r="B104" s="125"/>
      <c r="C104" s="125"/>
      <c r="D104" s="124"/>
      <c r="E104" s="130"/>
      <c r="F104" s="130"/>
      <c r="G104" s="127"/>
      <c r="H104" s="130"/>
    </row>
    <row r="105" spans="1:8" ht="31" x14ac:dyDescent="0.35">
      <c r="A105" s="124">
        <v>38</v>
      </c>
      <c r="B105" s="125" t="s">
        <v>535</v>
      </c>
      <c r="C105" s="125" t="s">
        <v>536</v>
      </c>
      <c r="D105" s="124" t="s">
        <v>476</v>
      </c>
      <c r="E105" s="126">
        <v>1414</v>
      </c>
      <c r="F105" s="130">
        <v>254.52</v>
      </c>
      <c r="G105" s="127">
        <v>1669</v>
      </c>
      <c r="H105" s="128" t="s">
        <v>60</v>
      </c>
    </row>
    <row r="106" spans="1:8" ht="31" x14ac:dyDescent="0.35">
      <c r="A106" s="124"/>
      <c r="B106" s="125"/>
      <c r="C106" s="125" t="s">
        <v>537</v>
      </c>
      <c r="D106" s="124" t="s">
        <v>478</v>
      </c>
      <c r="E106" s="126"/>
      <c r="F106" s="130"/>
      <c r="G106" s="127"/>
      <c r="H106" s="128" t="s">
        <v>479</v>
      </c>
    </row>
    <row r="107" spans="1:8" ht="15.5" x14ac:dyDescent="0.35">
      <c r="A107" s="124"/>
      <c r="B107" s="125"/>
      <c r="C107" s="125"/>
      <c r="D107" s="124"/>
      <c r="E107" s="130"/>
      <c r="F107" s="130"/>
      <c r="G107" s="127"/>
      <c r="H107" s="130"/>
    </row>
    <row r="108" spans="1:8" ht="15.5" x14ac:dyDescent="0.35">
      <c r="A108" s="124">
        <v>39</v>
      </c>
      <c r="B108" s="125" t="s">
        <v>538</v>
      </c>
      <c r="C108" s="125" t="s">
        <v>492</v>
      </c>
      <c r="D108" s="124" t="s">
        <v>476</v>
      </c>
      <c r="E108" s="126">
        <v>1037.29</v>
      </c>
      <c r="F108" s="130">
        <v>186.71</v>
      </c>
      <c r="G108" s="127">
        <v>1224</v>
      </c>
      <c r="H108" s="128" t="s">
        <v>60</v>
      </c>
    </row>
    <row r="109" spans="1:8" ht="29.25" customHeight="1" x14ac:dyDescent="0.35">
      <c r="A109" s="124"/>
      <c r="B109" s="141" t="s">
        <v>539</v>
      </c>
      <c r="C109" s="142"/>
      <c r="D109" s="142"/>
      <c r="E109" s="142"/>
      <c r="F109" s="142"/>
      <c r="G109" s="142"/>
      <c r="H109" s="143"/>
    </row>
    <row r="110" spans="1:8" ht="15.5" x14ac:dyDescent="0.35">
      <c r="A110" s="124"/>
      <c r="B110" s="144"/>
      <c r="C110" s="131"/>
      <c r="D110" s="131"/>
      <c r="E110" s="131"/>
      <c r="F110" s="131"/>
      <c r="G110" s="122"/>
      <c r="H110" s="128"/>
    </row>
    <row r="111" spans="1:8" ht="15.5" x14ac:dyDescent="0.35">
      <c r="A111" s="124">
        <v>40</v>
      </c>
      <c r="B111" s="145" t="s">
        <v>540</v>
      </c>
      <c r="C111" s="146" t="s">
        <v>371</v>
      </c>
      <c r="D111" s="146" t="s">
        <v>476</v>
      </c>
      <c r="E111" s="147">
        <v>2737</v>
      </c>
      <c r="F111" s="148">
        <v>493</v>
      </c>
      <c r="G111" s="149">
        <f>E111+F111</f>
        <v>3230</v>
      </c>
      <c r="H111" s="128" t="s">
        <v>60</v>
      </c>
    </row>
    <row r="112" spans="1:8" ht="15.5" x14ac:dyDescent="0.35">
      <c r="A112" s="124"/>
      <c r="B112" s="144"/>
      <c r="C112" s="150" t="s">
        <v>483</v>
      </c>
      <c r="D112" s="150" t="s">
        <v>478</v>
      </c>
      <c r="E112" s="151"/>
      <c r="F112" s="151"/>
      <c r="G112" s="149"/>
      <c r="H112" s="128" t="s">
        <v>479</v>
      </c>
    </row>
    <row r="113" spans="1:8" ht="15.5" x14ac:dyDescent="0.35">
      <c r="A113" s="124"/>
      <c r="B113" s="144"/>
      <c r="C113" s="150"/>
      <c r="D113" s="150"/>
      <c r="E113" s="151"/>
      <c r="F113" s="151"/>
      <c r="G113" s="149"/>
      <c r="H113" s="128"/>
    </row>
    <row r="114" spans="1:8" ht="15.5" x14ac:dyDescent="0.35">
      <c r="A114" s="124">
        <v>41</v>
      </c>
      <c r="B114" s="145" t="s">
        <v>541</v>
      </c>
      <c r="C114" s="146" t="s">
        <v>371</v>
      </c>
      <c r="D114" s="146" t="s">
        <v>476</v>
      </c>
      <c r="E114" s="147">
        <v>2569</v>
      </c>
      <c r="F114" s="148">
        <v>463</v>
      </c>
      <c r="G114" s="149">
        <f t="shared" ref="G114:G117" si="0">E114+F114</f>
        <v>3032</v>
      </c>
      <c r="H114" s="128" t="s">
        <v>60</v>
      </c>
    </row>
    <row r="115" spans="1:8" ht="15.5" x14ac:dyDescent="0.35">
      <c r="A115" s="124"/>
      <c r="B115" s="144"/>
      <c r="C115" s="150" t="s">
        <v>483</v>
      </c>
      <c r="D115" s="150" t="s">
        <v>478</v>
      </c>
      <c r="E115" s="151"/>
      <c r="F115" s="151"/>
      <c r="G115" s="149"/>
      <c r="H115" s="128" t="s">
        <v>479</v>
      </c>
    </row>
    <row r="116" spans="1:8" ht="15.5" x14ac:dyDescent="0.35">
      <c r="A116" s="124"/>
      <c r="B116" s="144"/>
      <c r="C116" s="150"/>
      <c r="D116" s="150"/>
      <c r="E116" s="151"/>
      <c r="F116" s="151"/>
      <c r="G116" s="149"/>
      <c r="H116" s="128"/>
    </row>
    <row r="117" spans="1:8" ht="31" x14ac:dyDescent="0.35">
      <c r="A117" s="124">
        <v>42</v>
      </c>
      <c r="B117" s="145" t="s">
        <v>542</v>
      </c>
      <c r="C117" s="146" t="s">
        <v>483</v>
      </c>
      <c r="D117" s="146" t="s">
        <v>476</v>
      </c>
      <c r="E117" s="147">
        <v>45486</v>
      </c>
      <c r="F117" s="147">
        <v>8187</v>
      </c>
      <c r="G117" s="149">
        <f t="shared" si="0"/>
        <v>53673</v>
      </c>
      <c r="H117" s="128" t="s">
        <v>60</v>
      </c>
    </row>
    <row r="118" spans="1:8" ht="15.5" x14ac:dyDescent="0.35">
      <c r="A118" s="124"/>
      <c r="B118" s="144"/>
      <c r="C118" s="150"/>
      <c r="D118" s="150"/>
      <c r="E118" s="151"/>
      <c r="F118" s="151"/>
      <c r="G118" s="152"/>
      <c r="H118" s="128"/>
    </row>
    <row r="119" spans="1:8" ht="31" x14ac:dyDescent="0.35">
      <c r="A119" s="124">
        <v>43</v>
      </c>
      <c r="B119" s="145" t="s">
        <v>543</v>
      </c>
      <c r="C119" s="146" t="s">
        <v>483</v>
      </c>
      <c r="D119" s="146" t="s">
        <v>476</v>
      </c>
      <c r="E119" s="147">
        <v>7581</v>
      </c>
      <c r="F119" s="147">
        <v>1365</v>
      </c>
      <c r="G119" s="149">
        <f t="shared" ref="G119:G127" si="1">F119+E119</f>
        <v>8946</v>
      </c>
      <c r="H119" s="128" t="s">
        <v>60</v>
      </c>
    </row>
    <row r="120" spans="1:8" ht="15.5" x14ac:dyDescent="0.35">
      <c r="A120" s="124"/>
      <c r="B120" s="144"/>
      <c r="C120" s="150"/>
      <c r="D120" s="150"/>
      <c r="E120" s="151"/>
      <c r="F120" s="151"/>
      <c r="G120" s="152"/>
      <c r="H120" s="128"/>
    </row>
    <row r="121" spans="1:8" ht="31" x14ac:dyDescent="0.35">
      <c r="A121" s="124">
        <v>44</v>
      </c>
      <c r="B121" s="145" t="s">
        <v>544</v>
      </c>
      <c r="C121" s="145" t="s">
        <v>509</v>
      </c>
      <c r="D121" s="146" t="s">
        <v>476</v>
      </c>
      <c r="E121" s="147">
        <v>6176</v>
      </c>
      <c r="F121" s="147">
        <v>1112</v>
      </c>
      <c r="G121" s="149">
        <f t="shared" si="1"/>
        <v>7288</v>
      </c>
      <c r="H121" s="128" t="s">
        <v>60</v>
      </c>
    </row>
    <row r="122" spans="1:8" ht="15.5" x14ac:dyDescent="0.35">
      <c r="A122" s="124"/>
      <c r="B122" s="144"/>
      <c r="C122" s="150" t="s">
        <v>483</v>
      </c>
      <c r="D122" s="150" t="s">
        <v>478</v>
      </c>
      <c r="E122" s="151"/>
      <c r="F122" s="151"/>
      <c r="G122" s="149"/>
      <c r="H122" s="128" t="s">
        <v>479</v>
      </c>
    </row>
    <row r="123" spans="1:8" ht="15.5" x14ac:dyDescent="0.35">
      <c r="A123" s="124"/>
      <c r="B123" s="144"/>
      <c r="C123" s="150"/>
      <c r="D123" s="150"/>
      <c r="E123" s="151"/>
      <c r="F123" s="151"/>
      <c r="G123" s="149"/>
      <c r="H123" s="128"/>
    </row>
    <row r="124" spans="1:8" ht="15.5" x14ac:dyDescent="0.35">
      <c r="A124" s="124">
        <v>45</v>
      </c>
      <c r="B124" s="145" t="s">
        <v>545</v>
      </c>
      <c r="C124" s="146" t="s">
        <v>483</v>
      </c>
      <c r="D124" s="146" t="s">
        <v>476</v>
      </c>
      <c r="E124" s="147">
        <v>4900</v>
      </c>
      <c r="F124" s="148">
        <v>882</v>
      </c>
      <c r="G124" s="149">
        <f>F124+E124</f>
        <v>5782</v>
      </c>
      <c r="H124" s="128" t="s">
        <v>60</v>
      </c>
    </row>
    <row r="125" spans="1:8" ht="31" x14ac:dyDescent="0.35">
      <c r="A125" s="124"/>
      <c r="B125" s="144"/>
      <c r="C125" s="125" t="s">
        <v>509</v>
      </c>
      <c r="D125" s="150" t="s">
        <v>478</v>
      </c>
      <c r="E125" s="151"/>
      <c r="F125" s="151"/>
      <c r="G125" s="149"/>
      <c r="H125" s="128" t="s">
        <v>479</v>
      </c>
    </row>
    <row r="126" spans="1:8" ht="15.5" x14ac:dyDescent="0.35">
      <c r="A126" s="124"/>
      <c r="B126" s="144"/>
      <c r="C126" s="150"/>
      <c r="D126" s="150"/>
      <c r="E126" s="151"/>
      <c r="F126" s="151"/>
      <c r="G126" s="149"/>
      <c r="H126" s="128"/>
    </row>
    <row r="127" spans="1:8" ht="15.5" x14ac:dyDescent="0.35">
      <c r="A127" s="124">
        <v>46</v>
      </c>
      <c r="B127" s="145" t="s">
        <v>546</v>
      </c>
      <c r="C127" s="146" t="s">
        <v>483</v>
      </c>
      <c r="D127" s="146" t="s">
        <v>476</v>
      </c>
      <c r="E127" s="147">
        <v>3570</v>
      </c>
      <c r="F127" s="148">
        <v>643</v>
      </c>
      <c r="G127" s="149">
        <f t="shared" si="1"/>
        <v>4213</v>
      </c>
      <c r="H127" s="128" t="s">
        <v>60</v>
      </c>
    </row>
    <row r="128" spans="1:8" ht="31" x14ac:dyDescent="0.35">
      <c r="A128" s="124"/>
      <c r="B128" s="144"/>
      <c r="C128" s="125" t="s">
        <v>509</v>
      </c>
      <c r="D128" s="150" t="s">
        <v>478</v>
      </c>
      <c r="E128" s="151"/>
      <c r="F128" s="151"/>
      <c r="G128" s="152"/>
      <c r="H128" s="128" t="s">
        <v>479</v>
      </c>
    </row>
    <row r="129" spans="1:8" ht="15.5" x14ac:dyDescent="0.35">
      <c r="A129" s="124"/>
      <c r="B129" s="144"/>
      <c r="C129" s="150"/>
      <c r="D129" s="150"/>
      <c r="E129" s="151"/>
      <c r="F129" s="151"/>
      <c r="G129" s="152"/>
      <c r="H129" s="128"/>
    </row>
    <row r="130" spans="1:8" ht="15.5" x14ac:dyDescent="0.35">
      <c r="A130" s="124">
        <v>47</v>
      </c>
      <c r="B130" s="145" t="s">
        <v>547</v>
      </c>
      <c r="C130" s="146" t="s">
        <v>483</v>
      </c>
      <c r="D130" s="146" t="s">
        <v>476</v>
      </c>
      <c r="E130" s="147">
        <v>41496</v>
      </c>
      <c r="F130" s="147">
        <v>7469</v>
      </c>
      <c r="G130" s="149">
        <f>E130+F130</f>
        <v>48965</v>
      </c>
      <c r="H130" s="128" t="s">
        <v>60</v>
      </c>
    </row>
    <row r="131" spans="1:8" ht="15.5" x14ac:dyDescent="0.35">
      <c r="A131" s="124"/>
      <c r="B131" s="144"/>
      <c r="C131" s="150"/>
      <c r="D131" s="150"/>
      <c r="E131" s="151"/>
      <c r="F131" s="151"/>
      <c r="G131" s="149"/>
      <c r="H131" s="128"/>
    </row>
    <row r="132" spans="1:8" ht="15.5" x14ac:dyDescent="0.35">
      <c r="A132" s="124">
        <v>48</v>
      </c>
      <c r="B132" s="145" t="s">
        <v>548</v>
      </c>
      <c r="C132" s="146" t="s">
        <v>371</v>
      </c>
      <c r="D132" s="146" t="s">
        <v>476</v>
      </c>
      <c r="E132" s="147">
        <v>52542</v>
      </c>
      <c r="F132" s="147">
        <v>9458</v>
      </c>
      <c r="G132" s="149">
        <f t="shared" ref="G132:G137" si="2">E132+F132</f>
        <v>62000</v>
      </c>
      <c r="H132" s="128" t="s">
        <v>60</v>
      </c>
    </row>
    <row r="133" spans="1:8" ht="15.5" x14ac:dyDescent="0.35">
      <c r="A133" s="124"/>
      <c r="B133" s="144"/>
      <c r="C133" s="150" t="s">
        <v>483</v>
      </c>
      <c r="D133" s="150" t="s">
        <v>478</v>
      </c>
      <c r="E133" s="151"/>
      <c r="F133" s="151"/>
      <c r="G133" s="149"/>
      <c r="H133" s="128" t="s">
        <v>479</v>
      </c>
    </row>
    <row r="134" spans="1:8" ht="15.5" x14ac:dyDescent="0.35">
      <c r="A134" s="124"/>
      <c r="B134" s="144"/>
      <c r="C134" s="150"/>
      <c r="D134" s="150"/>
      <c r="E134" s="151"/>
      <c r="F134" s="151"/>
      <c r="G134" s="149"/>
      <c r="H134" s="128"/>
    </row>
    <row r="135" spans="1:8" ht="31" x14ac:dyDescent="0.35">
      <c r="A135" s="124">
        <v>49</v>
      </c>
      <c r="B135" s="145" t="s">
        <v>549</v>
      </c>
      <c r="C135" s="146" t="s">
        <v>483</v>
      </c>
      <c r="D135" s="146" t="s">
        <v>476</v>
      </c>
      <c r="E135" s="147">
        <v>18060</v>
      </c>
      <c r="F135" s="147">
        <v>3251</v>
      </c>
      <c r="G135" s="149">
        <f t="shared" si="2"/>
        <v>21311</v>
      </c>
      <c r="H135" s="128" t="s">
        <v>60</v>
      </c>
    </row>
    <row r="136" spans="1:8" ht="15.5" x14ac:dyDescent="0.35">
      <c r="A136" s="124"/>
      <c r="B136" s="144"/>
      <c r="C136" s="150"/>
      <c r="D136" s="150"/>
      <c r="E136" s="151"/>
      <c r="F136" s="151"/>
      <c r="G136" s="149"/>
      <c r="H136" s="128"/>
    </row>
    <row r="137" spans="1:8" ht="15.5" x14ac:dyDescent="0.35">
      <c r="A137" s="124">
        <v>50</v>
      </c>
      <c r="B137" s="145" t="s">
        <v>550</v>
      </c>
      <c r="C137" s="146" t="s">
        <v>483</v>
      </c>
      <c r="D137" s="146" t="s">
        <v>476</v>
      </c>
      <c r="E137" s="147">
        <v>23618</v>
      </c>
      <c r="F137" s="147">
        <v>4251</v>
      </c>
      <c r="G137" s="149">
        <f t="shared" si="2"/>
        <v>27869</v>
      </c>
      <c r="H137" s="128" t="s">
        <v>60</v>
      </c>
    </row>
    <row r="138" spans="1:8" ht="15.5" x14ac:dyDescent="0.35">
      <c r="A138" s="124"/>
      <c r="B138" s="144"/>
      <c r="C138" s="150"/>
      <c r="D138" s="150"/>
      <c r="E138" s="151"/>
      <c r="F138" s="151"/>
      <c r="G138" s="152"/>
      <c r="H138" s="128"/>
    </row>
    <row r="139" spans="1:8" ht="15.5" x14ac:dyDescent="0.35">
      <c r="A139" s="153">
        <v>51</v>
      </c>
      <c r="B139" s="145" t="s">
        <v>551</v>
      </c>
      <c r="C139" s="146" t="s">
        <v>483</v>
      </c>
      <c r="D139" s="146" t="s">
        <v>476</v>
      </c>
      <c r="E139" s="147">
        <v>3080</v>
      </c>
      <c r="F139" s="148">
        <v>554</v>
      </c>
      <c r="G139" s="149">
        <f>F139+E139</f>
        <v>3634</v>
      </c>
      <c r="H139" s="128" t="s">
        <v>60</v>
      </c>
    </row>
    <row r="140" spans="1:8" ht="15.5" x14ac:dyDescent="0.35">
      <c r="A140" s="124"/>
      <c r="B140" s="144"/>
      <c r="C140" s="150"/>
      <c r="D140" s="150"/>
      <c r="E140" s="151"/>
      <c r="F140" s="151"/>
      <c r="G140" s="149"/>
      <c r="H140" s="128"/>
    </row>
    <row r="141" spans="1:8" ht="15.5" x14ac:dyDescent="0.35">
      <c r="A141" s="124">
        <v>52</v>
      </c>
      <c r="B141" s="145" t="s">
        <v>552</v>
      </c>
      <c r="C141" s="146" t="s">
        <v>483</v>
      </c>
      <c r="D141" s="146" t="s">
        <v>476</v>
      </c>
      <c r="E141" s="147">
        <v>1596</v>
      </c>
      <c r="F141" s="148">
        <v>287</v>
      </c>
      <c r="G141" s="149">
        <f t="shared" ref="G141:G143" si="3">F141+E141</f>
        <v>1883</v>
      </c>
      <c r="H141" s="154" t="s">
        <v>60</v>
      </c>
    </row>
    <row r="142" spans="1:8" ht="15.5" x14ac:dyDescent="0.35">
      <c r="A142" s="124"/>
      <c r="B142" s="144"/>
      <c r="C142" s="150"/>
      <c r="D142" s="150"/>
      <c r="E142" s="155"/>
      <c r="F142" s="155"/>
      <c r="G142" s="149"/>
      <c r="H142" s="156"/>
    </row>
    <row r="143" spans="1:8" ht="15.5" x14ac:dyDescent="0.35">
      <c r="A143" s="124">
        <v>53</v>
      </c>
      <c r="B143" s="145" t="s">
        <v>553</v>
      </c>
      <c r="C143" s="146" t="s">
        <v>483</v>
      </c>
      <c r="D143" s="146" t="s">
        <v>476</v>
      </c>
      <c r="E143" s="147">
        <v>5810</v>
      </c>
      <c r="F143" s="147">
        <v>1046</v>
      </c>
      <c r="G143" s="149">
        <f t="shared" si="3"/>
        <v>6856</v>
      </c>
      <c r="H143" s="154" t="s">
        <v>60</v>
      </c>
    </row>
    <row r="144" spans="1:8" ht="15.5" x14ac:dyDescent="0.35">
      <c r="A144" s="124"/>
      <c r="B144" s="125"/>
      <c r="C144" s="125"/>
      <c r="D144" s="125"/>
      <c r="E144" s="157"/>
      <c r="F144" s="157"/>
      <c r="G144" s="152"/>
      <c r="H144" s="158"/>
    </row>
    <row r="145" spans="1:8" ht="31" x14ac:dyDescent="0.35">
      <c r="A145" s="159">
        <v>54</v>
      </c>
      <c r="B145" s="145" t="s">
        <v>554</v>
      </c>
      <c r="C145" s="160" t="s">
        <v>509</v>
      </c>
      <c r="D145" s="150" t="s">
        <v>476</v>
      </c>
      <c r="E145" s="161">
        <v>3603</v>
      </c>
      <c r="F145" s="153">
        <v>648</v>
      </c>
      <c r="G145" s="149">
        <f>F145+E145</f>
        <v>4251</v>
      </c>
      <c r="H145" s="154" t="s">
        <v>60</v>
      </c>
    </row>
    <row r="146" spans="1:8" ht="15.5" x14ac:dyDescent="0.35">
      <c r="A146" s="124"/>
      <c r="B146" s="144"/>
      <c r="C146" s="160" t="s">
        <v>483</v>
      </c>
      <c r="D146" s="150" t="s">
        <v>478</v>
      </c>
      <c r="E146" s="162"/>
      <c r="F146" s="162"/>
      <c r="G146" s="149"/>
      <c r="H146" s="154" t="s">
        <v>479</v>
      </c>
    </row>
    <row r="147" spans="1:8" ht="15.5" x14ac:dyDescent="0.35">
      <c r="A147" s="124"/>
      <c r="B147" s="144"/>
      <c r="C147" s="124"/>
      <c r="D147" s="125"/>
      <c r="E147" s="157"/>
      <c r="F147" s="157"/>
      <c r="G147" s="149"/>
      <c r="H147" s="158"/>
    </row>
    <row r="148" spans="1:8" ht="15.5" x14ac:dyDescent="0.35">
      <c r="A148" s="153">
        <v>55</v>
      </c>
      <c r="B148" s="145" t="s">
        <v>555</v>
      </c>
      <c r="C148" s="160" t="s">
        <v>556</v>
      </c>
      <c r="D148" s="146" t="s">
        <v>476</v>
      </c>
      <c r="E148" s="161">
        <v>2009</v>
      </c>
      <c r="F148" s="153">
        <v>362</v>
      </c>
      <c r="G148" s="149">
        <f t="shared" ref="G148:G151" si="4">F148+E148</f>
        <v>2371</v>
      </c>
      <c r="H148" s="154" t="s">
        <v>60</v>
      </c>
    </row>
    <row r="149" spans="1:8" ht="15.5" x14ac:dyDescent="0.35">
      <c r="A149" s="124"/>
      <c r="B149" s="144"/>
      <c r="C149" s="124"/>
      <c r="D149" s="125"/>
      <c r="E149" s="157"/>
      <c r="F149" s="157"/>
      <c r="G149" s="149"/>
      <c r="H149" s="154" t="s">
        <v>479</v>
      </c>
    </row>
    <row r="150" spans="1:8" ht="15.5" x14ac:dyDescent="0.35">
      <c r="A150" s="163"/>
      <c r="B150" s="125"/>
      <c r="C150" s="125"/>
      <c r="D150" s="125"/>
      <c r="E150" s="157"/>
      <c r="F150" s="157"/>
      <c r="G150" s="149"/>
      <c r="H150" s="158"/>
    </row>
    <row r="151" spans="1:8" ht="15.5" x14ac:dyDescent="0.35">
      <c r="A151" s="164">
        <v>56</v>
      </c>
      <c r="B151" s="145" t="s">
        <v>557</v>
      </c>
      <c r="C151" s="160" t="s">
        <v>483</v>
      </c>
      <c r="D151" s="160" t="s">
        <v>476</v>
      </c>
      <c r="E151" s="161">
        <v>4760</v>
      </c>
      <c r="F151" s="153">
        <v>857</v>
      </c>
      <c r="G151" s="149">
        <f t="shared" si="4"/>
        <v>5617</v>
      </c>
      <c r="H151" s="124" t="s">
        <v>60</v>
      </c>
    </row>
    <row r="152" spans="1:8" x14ac:dyDescent="0.35">
      <c r="G152" s="166"/>
    </row>
    <row r="153" spans="1:8" x14ac:dyDescent="0.35">
      <c r="G153" s="166"/>
    </row>
    <row r="154" spans="1:8" x14ac:dyDescent="0.35">
      <c r="G154" s="166"/>
    </row>
    <row r="155" spans="1:8" x14ac:dyDescent="0.35">
      <c r="G155" s="166"/>
    </row>
    <row r="156" spans="1:8" x14ac:dyDescent="0.35">
      <c r="G156" s="166"/>
    </row>
    <row r="157" spans="1:8" x14ac:dyDescent="0.35">
      <c r="G157" s="166"/>
    </row>
    <row r="158" spans="1:8" x14ac:dyDescent="0.35">
      <c r="G158" s="166"/>
    </row>
  </sheetData>
  <mergeCells count="2">
    <mergeCell ref="A1:H1"/>
    <mergeCell ref="B109:H109"/>
  </mergeCells>
  <pageMargins left="0.7" right="0.7" top="0.75" bottom="0.75" header="0.3" footer="0.3"/>
  <pageSetup paperSize="5" scale="90" orientation="landscape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EQU RC list 2025-26</vt:lpstr>
      <vt:lpstr>Furniture items RC list </vt:lpstr>
      <vt:lpstr>'EQU RC list 2025-26'!Print_Area</vt:lpstr>
      <vt:lpstr>'Furniture items RC list '!Print_Area</vt:lpstr>
      <vt:lpstr>'EQU RC list 2025-26'!Print_Titles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Kurukuri, V Satya Kumar</dc:creator>
  <cp:lastModifiedBy>Kurukuri, V Satya Kumar</cp:lastModifiedBy>
  <dcterms:created xsi:type="dcterms:W3CDTF">2026-10-08T12:29:42Z</dcterms:created>
  <dcterms:modified xsi:type="dcterms:W3CDTF">2026-10-08T12:30:15Z</dcterms:modified>
</cp:coreProperties>
</file>